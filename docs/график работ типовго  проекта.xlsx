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Отедел Системного Анализа\1. Audit Manager\docs\"/>
    </mc:Choice>
  </mc:AlternateContent>
  <xr:revisionPtr revIDLastSave="0" documentId="13_ncr:1_{355B28E3-4758-43BA-9487-AA51D687740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Оценка аудита" sheetId="1" r:id="rId1"/>
    <sheet name="Лист1" sheetId="2" r:id="rId2"/>
  </sheets>
  <definedNames>
    <definedName name="_xlnm._FilterDatabase" localSheetId="0" hidden="1">'Оценка аудита'!$A$1:$K$86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2" i="1" l="1"/>
  <c r="O75" i="1"/>
  <c r="O69" i="1"/>
  <c r="O84" i="1" s="1"/>
  <c r="N69" i="1"/>
  <c r="N46" i="1"/>
  <c r="M46" i="1"/>
  <c r="N50" i="1"/>
  <c r="M39" i="1"/>
  <c r="M30" i="1"/>
  <c r="M84" i="1" s="1"/>
  <c r="L30" i="1"/>
  <c r="L16" i="1"/>
  <c r="L7" i="1"/>
  <c r="L84" i="1" l="1"/>
  <c r="N84" i="1"/>
</calcChain>
</file>

<file path=xl/sharedStrings.xml><?xml version="1.0" encoding="utf-8"?>
<sst xmlns="http://schemas.openxmlformats.org/spreadsheetml/2006/main" count="296" uniqueCount="152">
  <si>
    <t>#</t>
  </si>
  <si>
    <t>Проект</t>
  </si>
  <si>
    <t>Раздел</t>
  </si>
  <si>
    <t>Время</t>
  </si>
  <si>
    <t>Claude, K</t>
  </si>
  <si>
    <t>GPT-5.4, $</t>
  </si>
  <si>
    <t>Нед 1</t>
  </si>
  <si>
    <t>Нед 2</t>
  </si>
  <si>
    <t>Нед 3</t>
  </si>
  <si>
    <t>Нед 4</t>
  </si>
  <si>
    <t>▶ AI</t>
  </si>
  <si>
    <t>133-23-ГК-АИ1</t>
  </si>
  <si>
    <t>AI</t>
  </si>
  <si>
    <t>3:28</t>
  </si>
  <si>
    <t>ready</t>
  </si>
  <si>
    <t>133-23-ГК-АИ2</t>
  </si>
  <si>
    <t>2:18</t>
  </si>
  <si>
    <t>done</t>
  </si>
  <si>
    <t>133-23-ГК-АИ3</t>
  </si>
  <si>
    <t>0:57</t>
  </si>
  <si>
    <t>133_23-ГК-АИ4</t>
  </si>
  <si>
    <t>1:00</t>
  </si>
  <si>
    <t>Подитог AI (4)</t>
  </si>
  <si>
    <t>7:43</t>
  </si>
  <si>
    <t>▶ AR</t>
  </si>
  <si>
    <t>133-23-ГК-АР1</t>
  </si>
  <si>
    <t>AR</t>
  </si>
  <si>
    <t>1:21</t>
  </si>
  <si>
    <t>133-23-ГК-АР7 (2)</t>
  </si>
  <si>
    <t>0:39</t>
  </si>
  <si>
    <t>133_23-ГК-АР2_изм10</t>
  </si>
  <si>
    <t>0:48</t>
  </si>
  <si>
    <t>133_23-ГК-АР3_изм.8</t>
  </si>
  <si>
    <t>0:58</t>
  </si>
  <si>
    <t>133_23-ГК-АР4_изм.8</t>
  </si>
  <si>
    <t>1:33</t>
  </si>
  <si>
    <t>133_23-ГК-АР5 от 19.01.2026</t>
  </si>
  <si>
    <t>0:53</t>
  </si>
  <si>
    <t>133_23-ГК-АР6</t>
  </si>
  <si>
    <t>0:35</t>
  </si>
  <si>
    <t>Подитог AR (7)</t>
  </si>
  <si>
    <t>6:47</t>
  </si>
  <si>
    <t>▶ EOM</t>
  </si>
  <si>
    <t>087-РД-ГП5</t>
  </si>
  <si>
    <t>EOM</t>
  </si>
  <si>
    <t>0:47</t>
  </si>
  <si>
    <t>133-23-ГК-ЭС</t>
  </si>
  <si>
    <t>0:30</t>
  </si>
  <si>
    <t>133_23-ГК-ГРЩ</t>
  </si>
  <si>
    <t>0:37</t>
  </si>
  <si>
    <t>133_23-ГК-НС.ЭМ</t>
  </si>
  <si>
    <t>0:38</t>
  </si>
  <si>
    <t>133_23-ГК-ЭГ</t>
  </si>
  <si>
    <t>0:50</t>
  </si>
  <si>
    <t>133_23-ГК-ЭМ1</t>
  </si>
  <si>
    <t>133_23-ГК-ЭМ2</t>
  </si>
  <si>
    <t>1:11</t>
  </si>
  <si>
    <t>133_23-ГК-ЭО1</t>
  </si>
  <si>
    <t>0:34</t>
  </si>
  <si>
    <t>133_23-ГК-ЭО2</t>
  </si>
  <si>
    <t>133_23-ГК-ЭО3</t>
  </si>
  <si>
    <t>СК-4324-ЭРА-ЭР</t>
  </si>
  <si>
    <t>2:31</t>
  </si>
  <si>
    <t>Фасадное освещение</t>
  </si>
  <si>
    <t>0:33</t>
  </si>
  <si>
    <t>Подитог EOM (12)</t>
  </si>
  <si>
    <t>10:57</t>
  </si>
  <si>
    <t>▶ GP</t>
  </si>
  <si>
    <t>087-РД-АР_изм.1</t>
  </si>
  <si>
    <t>GP</t>
  </si>
  <si>
    <t>1:07</t>
  </si>
  <si>
    <t>087-РД-ГП1</t>
  </si>
  <si>
    <t>087-РД-ГП2</t>
  </si>
  <si>
    <t>no blocks</t>
  </si>
  <si>
    <t>087-РД-ГП3</t>
  </si>
  <si>
    <t>1:03</t>
  </si>
  <si>
    <t>087-РД-ГП8</t>
  </si>
  <si>
    <t>0:32</t>
  </si>
  <si>
    <t>133-23-ГК-ГП1</t>
  </si>
  <si>
    <t>133-23-ГК-ГП3</t>
  </si>
  <si>
    <t>0:49</t>
  </si>
  <si>
    <t>Подитог GP (7)</t>
  </si>
  <si>
    <t>5:09</t>
  </si>
  <si>
    <t>▶ OV</t>
  </si>
  <si>
    <t>133-23-ГК-ОВ2.2</t>
  </si>
  <si>
    <t>OV</t>
  </si>
  <si>
    <t>1:50</t>
  </si>
  <si>
    <t>133-23-ГК-ОВ3</t>
  </si>
  <si>
    <t>1:47</t>
  </si>
  <si>
    <t>133_23-ГК-ОВ1.1</t>
  </si>
  <si>
    <t>133_23-ГК-ОВ1.2</t>
  </si>
  <si>
    <t>0:55</t>
  </si>
  <si>
    <t>133_23-ГК-ОВ2.1</t>
  </si>
  <si>
    <t>Подитог OV (5)</t>
  </si>
  <si>
    <t>6:31</t>
  </si>
  <si>
    <t>▶ PT</t>
  </si>
  <si>
    <t>133-23-ГК-АГПТ</t>
  </si>
  <si>
    <t>PT</t>
  </si>
  <si>
    <t>133_23-ГК-ПТ</t>
  </si>
  <si>
    <t>0:36</t>
  </si>
  <si>
    <t>Подитог PT (2)</t>
  </si>
  <si>
    <t>1:15</t>
  </si>
  <si>
    <t>▶ SS</t>
  </si>
  <si>
    <t>133-23-ГК-СКУД</t>
  </si>
  <si>
    <t>SS</t>
  </si>
  <si>
    <t>133_23-ГК-АК</t>
  </si>
  <si>
    <t>2:00</t>
  </si>
  <si>
    <t>133_23-ГК-АСКУВТ</t>
  </si>
  <si>
    <t>133_23-ГК-АСКУЭ</t>
  </si>
  <si>
    <t>133_23-ГК-АСУД.И</t>
  </si>
  <si>
    <t>133_23-ГК-АСУД.Л</t>
  </si>
  <si>
    <t>133_23-ГК-КК</t>
  </si>
  <si>
    <t>0:41</t>
  </si>
  <si>
    <t>133_23-ГК-НС.АК</t>
  </si>
  <si>
    <t>0:31</t>
  </si>
  <si>
    <t>133_23-ГК-ОЗДС</t>
  </si>
  <si>
    <t>133_23-ГК-ПБ</t>
  </si>
  <si>
    <t>2:06</t>
  </si>
  <si>
    <t>133_23-ГК-РТ</t>
  </si>
  <si>
    <t>0:42</t>
  </si>
  <si>
    <t>133_23-ГК-САКЗ</t>
  </si>
  <si>
    <t>133_23-ГК-СДС</t>
  </si>
  <si>
    <t>133_23-ГК-СКС</t>
  </si>
  <si>
    <t>133_23-ГК-СКТВ</t>
  </si>
  <si>
    <t>0:52</t>
  </si>
  <si>
    <t>133_23-ГК-СОТ</t>
  </si>
  <si>
    <t>0:56</t>
  </si>
  <si>
    <t>133_23-ГК-СОТС</t>
  </si>
  <si>
    <t>Подитог SS (17)</t>
  </si>
  <si>
    <t>13:41</t>
  </si>
  <si>
    <t>▶ TX</t>
  </si>
  <si>
    <t>133-23-ГК-ТХ.А</t>
  </si>
  <si>
    <t>TX</t>
  </si>
  <si>
    <t>133_23-ГК-ТХ.ВТ</t>
  </si>
  <si>
    <t>133_23-ГК-ТХ.М</t>
  </si>
  <si>
    <t>133_23-ГК-ТХ.О</t>
  </si>
  <si>
    <t>Подитог TX (4)</t>
  </si>
  <si>
    <t>2:09</t>
  </si>
  <si>
    <t>▶ VK</t>
  </si>
  <si>
    <t>133_23-ГК-ВК1</t>
  </si>
  <si>
    <t>VK</t>
  </si>
  <si>
    <t>133_23-ГК-ВК2</t>
  </si>
  <si>
    <t>1:22</t>
  </si>
  <si>
    <t>133_23-ГК-ВК3</t>
  </si>
  <si>
    <t>133_23-ГК-ВК4</t>
  </si>
  <si>
    <t>75СГ-24-ДК1</t>
  </si>
  <si>
    <t>Подитог VK (5)</t>
  </si>
  <si>
    <t>4:07</t>
  </si>
  <si>
    <t>ИТОГО: 63 проектов</t>
  </si>
  <si>
    <t>58:19</t>
  </si>
  <si>
    <t>Лимит: 17,000K / неделю</t>
  </si>
  <si>
    <t>Чел/дн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</si>
</sst>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22" x14ac:knownFonts="1">
    <font>
      <sz val="11"/>
      <color theme="1"/>
      <name val="Calibri"/>
      <family val="2"/>
      <scheme val="minor"/>
    </font>
    <font>
      <b/>
      <sz val="10"/>
      <color rgb="FF2E7D32"/>
      <name val="Calibri"/>
    </font>
    <font>
      <sz val="9"/>
      <name val="Calibri"/>
    </font>
    <font>
      <b/>
      <sz val="9"/>
      <name val="Calibri"/>
    </font>
    <font>
      <b/>
      <sz val="9"/>
      <color rgb="FF1565C0"/>
      <name val="Calibri"/>
    </font>
    <font>
      <b/>
      <sz val="9"/>
      <color rgb="FFD84315"/>
      <name val="Calibri"/>
    </font>
    <font>
      <sz val="9"/>
      <color rgb="FFFF9800"/>
      <name val="Calibri"/>
    </font>
    <font>
      <sz val="9"/>
      <color rgb="FF4CAF50"/>
      <name val="Calibri"/>
    </font>
    <font>
      <b/>
      <sz val="10"/>
      <color rgb="FFE65100"/>
      <name val="Calibri"/>
    </font>
    <font>
      <b/>
      <sz val="9"/>
      <color rgb="FF2E7D32"/>
      <name val="Calibri"/>
    </font>
    <font>
      <sz val="9"/>
      <color rgb="FFF44336"/>
      <name val="Calibri"/>
    </font>
    <font>
      <b/>
      <sz val="9"/>
      <color rgb="FFE65100"/>
      <name val="Calibri"/>
    </font>
    <font>
      <b/>
      <sz val="9"/>
      <color rgb="FFC62828"/>
      <name val="Calibri"/>
    </font>
    <font>
      <i/>
      <sz val="9"/>
      <color rgb="FF999999"/>
      <name val="Calibri"/>
    </font>
    <font>
      <b/>
      <sz val="9"/>
      <color rgb="FF999999"/>
      <name val="Calibri"/>
    </font>
    <font>
      <i/>
      <sz val="9"/>
      <color rgb="FF666666"/>
      <name val="Calibri"/>
    </font>
    <font>
      <b/>
      <sz val="9"/>
      <color rgb="FFFF0000"/>
      <name val="Calibri"/>
      <family val="2"/>
      <charset val="204"/>
    </font>
    <font>
      <b/>
      <sz val="10"/>
      <color rgb="FFFF000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theme="6" tint="0.59999389629810485"/>
        <bgColor rgb="FF1B2838"/>
      </patternFill>
    </fill>
    <fill>
      <patternFill patternType="solid">
        <fgColor theme="0" tint="-0.249977111117893"/>
        <bgColor rgb="FF1B2838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0" fillId="2" borderId="1" xfId="0" applyFill="1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3" fontId="8" fillId="4" borderId="1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3" fontId="12" fillId="5" borderId="1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9" fillId="2" borderId="4" xfId="0" applyNumberFormat="1" applyFont="1" applyFill="1" applyBorder="1" applyAlignment="1">
      <alignment horizontal="center"/>
    </xf>
    <xf numFmtId="3" fontId="11" fillId="4" borderId="4" xfId="0" applyNumberFormat="1" applyFont="1" applyFill="1" applyBorder="1" applyAlignment="1">
      <alignment horizontal="center"/>
    </xf>
    <xf numFmtId="3" fontId="12" fillId="5" borderId="4" xfId="0" applyNumberFormat="1" applyFont="1" applyFill="1" applyBorder="1" applyAlignment="1">
      <alignment horizontal="center"/>
    </xf>
    <xf numFmtId="3" fontId="4" fillId="3" borderId="5" xfId="0" applyNumberFormat="1" applyFont="1" applyFill="1" applyBorder="1" applyAlignment="1">
      <alignment horizontal="center"/>
    </xf>
    <xf numFmtId="3" fontId="9" fillId="2" borderId="5" xfId="0" applyNumberFormat="1" applyFont="1" applyFill="1" applyBorder="1" applyAlignment="1">
      <alignment horizontal="center"/>
    </xf>
    <xf numFmtId="3" fontId="11" fillId="4" borderId="5" xfId="0" applyNumberFormat="1" applyFont="1" applyFill="1" applyBorder="1" applyAlignment="1">
      <alignment horizontal="center"/>
    </xf>
    <xf numFmtId="3" fontId="12" fillId="5" borderId="5" xfId="0" applyNumberFormat="1" applyFont="1" applyFill="1" applyBorder="1" applyAlignment="1">
      <alignment horizontal="center"/>
    </xf>
    <xf numFmtId="3" fontId="16" fillId="3" borderId="2" xfId="0" applyNumberFormat="1" applyFont="1" applyFill="1" applyBorder="1" applyAlignment="1">
      <alignment horizontal="center"/>
    </xf>
    <xf numFmtId="3" fontId="16" fillId="3" borderId="6" xfId="0" applyNumberFormat="1" applyFont="1" applyFill="1" applyBorder="1" applyAlignment="1">
      <alignment horizontal="center"/>
    </xf>
    <xf numFmtId="3" fontId="16" fillId="3" borderId="7" xfId="0" applyNumberFormat="1" applyFont="1" applyFill="1" applyBorder="1" applyAlignment="1">
      <alignment horizontal="center"/>
    </xf>
    <xf numFmtId="3" fontId="16" fillId="2" borderId="6" xfId="0" applyNumberFormat="1" applyFont="1" applyFill="1" applyBorder="1" applyAlignment="1">
      <alignment horizontal="center"/>
    </xf>
    <xf numFmtId="3" fontId="16" fillId="2" borderId="7" xfId="0" applyNumberFormat="1" applyFont="1" applyFill="1" applyBorder="1" applyAlignment="1">
      <alignment horizontal="center"/>
    </xf>
    <xf numFmtId="3" fontId="16" fillId="2" borderId="2" xfId="0" applyNumberFormat="1" applyFont="1" applyFill="1" applyBorder="1" applyAlignment="1">
      <alignment horizontal="center"/>
    </xf>
    <xf numFmtId="3" fontId="16" fillId="4" borderId="6" xfId="0" applyNumberFormat="1" applyFont="1" applyFill="1" applyBorder="1" applyAlignment="1">
      <alignment horizontal="center"/>
    </xf>
    <xf numFmtId="3" fontId="16" fillId="4" borderId="7" xfId="0" applyNumberFormat="1" applyFont="1" applyFill="1" applyBorder="1" applyAlignment="1">
      <alignment horizontal="center"/>
    </xf>
    <xf numFmtId="3" fontId="17" fillId="4" borderId="2" xfId="0" applyNumberFormat="1" applyFont="1" applyFill="1" applyBorder="1" applyAlignment="1">
      <alignment horizontal="center"/>
    </xf>
    <xf numFmtId="3" fontId="16" fillId="5" borderId="6" xfId="0" applyNumberFormat="1" applyFont="1" applyFill="1" applyBorder="1" applyAlignment="1">
      <alignment horizontal="center"/>
    </xf>
    <xf numFmtId="3" fontId="16" fillId="5" borderId="7" xfId="0" applyNumberFormat="1" applyFont="1" applyFill="1" applyBorder="1" applyAlignment="1">
      <alignment horizontal="center"/>
    </xf>
    <xf numFmtId="3" fontId="16" fillId="5" borderId="2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Border="1"/>
    <xf numFmtId="0" fontId="0" fillId="4" borderId="0" xfId="0" applyFill="1" applyBorder="1"/>
    <xf numFmtId="3" fontId="16" fillId="3" borderId="9" xfId="0" applyNumberFormat="1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0" fillId="7" borderId="1" xfId="0" applyFont="1" applyFill="1" applyBorder="1"/>
    <xf numFmtId="0" fontId="21" fillId="7" borderId="1" xfId="0" applyFont="1" applyFill="1" applyBorder="1"/>
    <xf numFmtId="0" fontId="21" fillId="7" borderId="1" xfId="0" applyFont="1" applyFill="1" applyBorder="1" applyAlignment="1">
      <alignment horizontal="center"/>
    </xf>
    <xf numFmtId="3" fontId="21" fillId="7" borderId="1" xfId="0" applyNumberFormat="1" applyFont="1" applyFill="1" applyBorder="1" applyAlignment="1">
      <alignment horizontal="center"/>
    </xf>
    <xf numFmtId="164" fontId="21" fillId="7" borderId="1" xfId="0" applyNumberFormat="1" applyFont="1" applyFill="1" applyBorder="1" applyAlignment="1">
      <alignment horizontal="center"/>
    </xf>
    <xf numFmtId="3" fontId="19" fillId="3" borderId="2" xfId="0" applyNumberFormat="1" applyFont="1" applyFill="1" applyBorder="1" applyAlignment="1">
      <alignment horizontal="center"/>
    </xf>
    <xf numFmtId="3" fontId="19" fillId="2" borderId="2" xfId="0" applyNumberFormat="1" applyFont="1" applyFill="1" applyBorder="1" applyAlignment="1">
      <alignment horizontal="center"/>
    </xf>
    <xf numFmtId="3" fontId="19" fillId="4" borderId="2" xfId="0" applyNumberFormat="1" applyFont="1" applyFill="1" applyBorder="1" applyAlignment="1">
      <alignment horizontal="center"/>
    </xf>
    <xf numFmtId="3" fontId="19" fillId="5" borderId="2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134390</xdr:colOff>
      <xdr:row>26</xdr:row>
      <xdr:rowOff>76902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F72486-D94D-4FF5-BD1A-BA61F9A80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49590" cy="5029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pane xSplit="2" ySplit="1" topLeftCell="C11" activePane="bottomRight" state="frozen"/>
      <selection pane="topRight"/>
      <selection pane="bottomLeft"/>
      <selection pane="bottomRight" activeCell="N21" sqref="N21"/>
    </sheetView>
  </sheetViews>
  <sheetFormatPr defaultRowHeight="15" outlineLevelRow="1" x14ac:dyDescent="0.25"/>
  <cols>
    <col min="1" max="1" width="4" customWidth="1"/>
    <col min="2" max="2" width="32" customWidth="1"/>
    <col min="3" max="3" width="7" customWidth="1"/>
    <col min="4" max="4" width="9" customWidth="1"/>
    <col min="5" max="6" width="11" customWidth="1"/>
    <col min="7" max="7" width="3.85546875" customWidth="1"/>
    <col min="8" max="11" width="10.28515625" bestFit="1" customWidth="1"/>
    <col min="12" max="15" width="7" bestFit="1" customWidth="1"/>
  </cols>
  <sheetData>
    <row r="1" spans="1:15" ht="36.75" customHeight="1" x14ac:dyDescent="0.25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/>
      <c r="H1" s="47" t="s">
        <v>6</v>
      </c>
      <c r="I1" s="47" t="s">
        <v>7</v>
      </c>
      <c r="J1" s="47" t="s">
        <v>8</v>
      </c>
      <c r="K1" s="47" t="s">
        <v>9</v>
      </c>
      <c r="L1" s="47" t="s">
        <v>151</v>
      </c>
      <c r="M1" s="47" t="s">
        <v>151</v>
      </c>
      <c r="N1" s="47" t="s">
        <v>151</v>
      </c>
      <c r="O1" s="47" t="s">
        <v>151</v>
      </c>
    </row>
    <row r="2" spans="1:15" ht="15.75" thickBot="1" x14ac:dyDescent="0.3">
      <c r="A2" s="4"/>
      <c r="B2" s="5" t="s">
        <v>10</v>
      </c>
      <c r="C2" s="4"/>
      <c r="D2" s="4"/>
      <c r="E2" s="4"/>
      <c r="F2" s="4"/>
      <c r="G2" s="44"/>
      <c r="H2" s="46"/>
      <c r="I2" s="44"/>
      <c r="J2" s="44"/>
      <c r="K2" s="44"/>
      <c r="L2" s="46"/>
      <c r="M2" s="44"/>
      <c r="N2" s="44"/>
      <c r="O2" s="44"/>
    </row>
    <row r="3" spans="1:15" outlineLevel="1" x14ac:dyDescent="0.25">
      <c r="A3" s="6">
        <v>1</v>
      </c>
      <c r="B3" s="7" t="s">
        <v>11</v>
      </c>
      <c r="C3" s="6" t="s">
        <v>12</v>
      </c>
      <c r="D3" s="8" t="s">
        <v>13</v>
      </c>
      <c r="E3" s="9">
        <v>2653</v>
      </c>
      <c r="F3" s="10">
        <v>6.48</v>
      </c>
      <c r="G3" s="58" t="s">
        <v>14</v>
      </c>
      <c r="H3" s="27">
        <v>2653</v>
      </c>
      <c r="I3" s="43"/>
      <c r="J3" s="43"/>
      <c r="K3" s="43"/>
      <c r="L3" s="27"/>
      <c r="M3" s="43"/>
      <c r="N3" s="43"/>
      <c r="O3" s="43"/>
    </row>
    <row r="4" spans="1:15" outlineLevel="1" x14ac:dyDescent="0.25">
      <c r="A4" s="6">
        <v>2</v>
      </c>
      <c r="B4" s="7" t="s">
        <v>15</v>
      </c>
      <c r="C4" s="6" t="s">
        <v>12</v>
      </c>
      <c r="D4" s="8" t="s">
        <v>16</v>
      </c>
      <c r="E4" s="9">
        <v>1991</v>
      </c>
      <c r="F4" s="10">
        <v>3.6</v>
      </c>
      <c r="G4" s="59" t="s">
        <v>17</v>
      </c>
      <c r="H4" s="11">
        <v>1991</v>
      </c>
      <c r="I4" s="12"/>
      <c r="J4" s="12"/>
      <c r="K4" s="12"/>
      <c r="L4" s="11"/>
      <c r="M4" s="12"/>
      <c r="N4" s="12"/>
      <c r="O4" s="12"/>
    </row>
    <row r="5" spans="1:15" outlineLevel="1" x14ac:dyDescent="0.25">
      <c r="A5" s="6">
        <v>3</v>
      </c>
      <c r="B5" s="7" t="s">
        <v>18</v>
      </c>
      <c r="C5" s="6" t="s">
        <v>12</v>
      </c>
      <c r="D5" s="8" t="s">
        <v>19</v>
      </c>
      <c r="E5" s="9">
        <v>999</v>
      </c>
      <c r="F5" s="10">
        <v>1.26</v>
      </c>
      <c r="G5" s="59" t="s">
        <v>17</v>
      </c>
      <c r="H5" s="11">
        <v>999</v>
      </c>
      <c r="I5" s="12"/>
      <c r="J5" s="12"/>
      <c r="K5" s="12"/>
      <c r="L5" s="11"/>
      <c r="M5" s="12"/>
      <c r="N5" s="12"/>
      <c r="O5" s="12"/>
    </row>
    <row r="6" spans="1:15" ht="15.75" outlineLevel="1" thickBot="1" x14ac:dyDescent="0.3">
      <c r="A6" s="6">
        <v>4</v>
      </c>
      <c r="B6" s="7" t="s">
        <v>20</v>
      </c>
      <c r="C6" s="6" t="s">
        <v>12</v>
      </c>
      <c r="D6" s="8" t="s">
        <v>21</v>
      </c>
      <c r="E6" s="9">
        <v>1025</v>
      </c>
      <c r="F6" s="10">
        <v>1.44</v>
      </c>
      <c r="G6" s="60" t="s">
        <v>17</v>
      </c>
      <c r="H6" s="22">
        <v>1025</v>
      </c>
      <c r="I6" s="23"/>
      <c r="J6" s="23"/>
      <c r="K6" s="23"/>
      <c r="L6" s="22"/>
      <c r="M6" s="23"/>
      <c r="N6" s="23"/>
      <c r="O6" s="23"/>
    </row>
    <row r="7" spans="1:15" x14ac:dyDescent="0.25">
      <c r="A7" s="13"/>
      <c r="B7" s="14" t="s">
        <v>22</v>
      </c>
      <c r="C7" s="13"/>
      <c r="D7" s="15" t="s">
        <v>23</v>
      </c>
      <c r="E7" s="16">
        <v>6668</v>
      </c>
      <c r="F7" s="17">
        <v>12.78</v>
      </c>
      <c r="G7" s="45"/>
      <c r="H7" s="32">
        <v>6668</v>
      </c>
      <c r="I7" s="45"/>
      <c r="J7" s="45"/>
      <c r="K7" s="45"/>
      <c r="L7" s="32">
        <f>COUNTA(B3:B6)</f>
        <v>4</v>
      </c>
      <c r="M7" s="45"/>
      <c r="N7" s="45"/>
      <c r="O7" s="45"/>
    </row>
    <row r="8" spans="1:15" ht="15.75" thickBot="1" x14ac:dyDescent="0.3">
      <c r="A8" s="4"/>
      <c r="B8" s="5" t="s">
        <v>24</v>
      </c>
      <c r="C8" s="4"/>
      <c r="D8" s="4"/>
      <c r="E8" s="4"/>
      <c r="F8" s="4"/>
      <c r="G8" s="44"/>
      <c r="H8" s="33"/>
      <c r="I8" s="44"/>
      <c r="J8" s="44"/>
      <c r="K8" s="44"/>
      <c r="L8" s="33"/>
      <c r="M8" s="44"/>
      <c r="N8" s="44"/>
      <c r="O8" s="44"/>
    </row>
    <row r="9" spans="1:15" outlineLevel="1" x14ac:dyDescent="0.25">
      <c r="A9" s="6">
        <v>5</v>
      </c>
      <c r="B9" s="7" t="s">
        <v>25</v>
      </c>
      <c r="C9" s="6" t="s">
        <v>26</v>
      </c>
      <c r="D9" s="8" t="s">
        <v>27</v>
      </c>
      <c r="E9" s="9">
        <v>1253</v>
      </c>
      <c r="F9" s="10">
        <v>2.34</v>
      </c>
      <c r="G9" s="61" t="s">
        <v>17</v>
      </c>
      <c r="H9" s="27">
        <v>1253</v>
      </c>
      <c r="I9" s="43"/>
      <c r="J9" s="43"/>
      <c r="K9" s="43"/>
      <c r="L9" s="27"/>
      <c r="M9" s="43"/>
      <c r="N9" s="43"/>
      <c r="O9" s="43"/>
    </row>
    <row r="10" spans="1:15" outlineLevel="1" x14ac:dyDescent="0.25">
      <c r="A10" s="6">
        <v>6</v>
      </c>
      <c r="B10" s="7" t="s">
        <v>28</v>
      </c>
      <c r="C10" s="6" t="s">
        <v>26</v>
      </c>
      <c r="D10" s="8" t="s">
        <v>29</v>
      </c>
      <c r="E10" s="9">
        <v>751</v>
      </c>
      <c r="F10" s="10">
        <v>0.72</v>
      </c>
      <c r="G10" s="62" t="s">
        <v>14</v>
      </c>
      <c r="H10" s="11">
        <v>751</v>
      </c>
      <c r="I10" s="12"/>
      <c r="J10" s="12"/>
      <c r="K10" s="12"/>
      <c r="L10" s="11"/>
      <c r="M10" s="12"/>
      <c r="N10" s="12"/>
      <c r="O10" s="12"/>
    </row>
    <row r="11" spans="1:15" outlineLevel="1" x14ac:dyDescent="0.25">
      <c r="A11" s="6">
        <v>7</v>
      </c>
      <c r="B11" s="7" t="s">
        <v>30</v>
      </c>
      <c r="C11" s="6" t="s">
        <v>26</v>
      </c>
      <c r="D11" s="8" t="s">
        <v>31</v>
      </c>
      <c r="E11" s="9">
        <v>858</v>
      </c>
      <c r="F11" s="10">
        <v>1.08</v>
      </c>
      <c r="G11" s="59" t="s">
        <v>17</v>
      </c>
      <c r="H11" s="11">
        <v>858</v>
      </c>
      <c r="I11" s="12"/>
      <c r="J11" s="12"/>
      <c r="K11" s="12"/>
      <c r="L11" s="11"/>
      <c r="M11" s="12"/>
      <c r="N11" s="12"/>
      <c r="O11" s="12"/>
    </row>
    <row r="12" spans="1:15" outlineLevel="1" x14ac:dyDescent="0.25">
      <c r="A12" s="6">
        <v>8</v>
      </c>
      <c r="B12" s="7" t="s">
        <v>32</v>
      </c>
      <c r="C12" s="6" t="s">
        <v>26</v>
      </c>
      <c r="D12" s="8" t="s">
        <v>33</v>
      </c>
      <c r="E12" s="9">
        <v>1132</v>
      </c>
      <c r="F12" s="10">
        <v>0.54</v>
      </c>
      <c r="G12" s="59" t="s">
        <v>17</v>
      </c>
      <c r="H12" s="11">
        <v>1132</v>
      </c>
      <c r="I12" s="12"/>
      <c r="J12" s="12"/>
      <c r="K12" s="12"/>
      <c r="L12" s="11"/>
      <c r="M12" s="12"/>
      <c r="N12" s="12"/>
      <c r="O12" s="12"/>
    </row>
    <row r="13" spans="1:15" outlineLevel="1" x14ac:dyDescent="0.25">
      <c r="A13" s="6">
        <v>9</v>
      </c>
      <c r="B13" s="7" t="s">
        <v>34</v>
      </c>
      <c r="C13" s="6" t="s">
        <v>26</v>
      </c>
      <c r="D13" s="8" t="s">
        <v>35</v>
      </c>
      <c r="E13" s="9">
        <v>1478</v>
      </c>
      <c r="F13" s="10">
        <v>2.16</v>
      </c>
      <c r="G13" s="59" t="s">
        <v>17</v>
      </c>
      <c r="H13" s="11">
        <v>1478</v>
      </c>
      <c r="I13" s="12"/>
      <c r="J13" s="12"/>
      <c r="K13" s="12"/>
      <c r="L13" s="11"/>
      <c r="M13" s="12"/>
      <c r="N13" s="12"/>
      <c r="O13" s="12"/>
    </row>
    <row r="14" spans="1:15" outlineLevel="1" x14ac:dyDescent="0.25">
      <c r="A14" s="6">
        <v>10</v>
      </c>
      <c r="B14" s="7" t="s">
        <v>36</v>
      </c>
      <c r="C14" s="6" t="s">
        <v>26</v>
      </c>
      <c r="D14" s="8" t="s">
        <v>37</v>
      </c>
      <c r="E14" s="9">
        <v>949</v>
      </c>
      <c r="F14" s="10">
        <v>1.08</v>
      </c>
      <c r="G14" s="59" t="s">
        <v>17</v>
      </c>
      <c r="H14" s="11">
        <v>949</v>
      </c>
      <c r="I14" s="12"/>
      <c r="J14" s="12"/>
      <c r="K14" s="12"/>
      <c r="L14" s="11"/>
      <c r="M14" s="12"/>
      <c r="N14" s="12"/>
      <c r="O14" s="12"/>
    </row>
    <row r="15" spans="1:15" ht="15.75" outlineLevel="1" thickBot="1" x14ac:dyDescent="0.3">
      <c r="A15" s="6">
        <v>11</v>
      </c>
      <c r="B15" s="7" t="s">
        <v>38</v>
      </c>
      <c r="C15" s="6" t="s">
        <v>26</v>
      </c>
      <c r="D15" s="8" t="s">
        <v>39</v>
      </c>
      <c r="E15" s="9">
        <v>697</v>
      </c>
      <c r="F15" s="10">
        <v>0.54</v>
      </c>
      <c r="G15" s="60" t="s">
        <v>17</v>
      </c>
      <c r="H15" s="22">
        <v>697</v>
      </c>
      <c r="I15" s="23"/>
      <c r="J15" s="23"/>
      <c r="K15" s="23"/>
      <c r="L15" s="22"/>
      <c r="M15" s="23"/>
      <c r="N15" s="23"/>
      <c r="O15" s="23"/>
    </row>
    <row r="16" spans="1:15" x14ac:dyDescent="0.25">
      <c r="A16" s="13"/>
      <c r="B16" s="14" t="s">
        <v>40</v>
      </c>
      <c r="C16" s="13"/>
      <c r="D16" s="15" t="s">
        <v>41</v>
      </c>
      <c r="E16" s="16">
        <v>7118</v>
      </c>
      <c r="F16" s="17">
        <v>8.4600000000000009</v>
      </c>
      <c r="G16" s="45"/>
      <c r="H16" s="32">
        <v>7118</v>
      </c>
      <c r="I16" s="45"/>
      <c r="J16" s="45"/>
      <c r="K16" s="45"/>
      <c r="L16" s="32">
        <f>COUNTA(B9:B15)</f>
        <v>7</v>
      </c>
      <c r="M16" s="45"/>
      <c r="N16" s="45"/>
      <c r="O16" s="45"/>
    </row>
    <row r="17" spans="1:15" ht="15.75" thickBot="1" x14ac:dyDescent="0.3">
      <c r="A17" s="4"/>
      <c r="B17" s="5" t="s">
        <v>42</v>
      </c>
      <c r="C17" s="4"/>
      <c r="D17" s="4"/>
      <c r="E17" s="4"/>
      <c r="F17" s="4"/>
      <c r="G17" s="44"/>
      <c r="H17" s="33"/>
      <c r="I17" s="44"/>
      <c r="J17" s="44"/>
      <c r="K17" s="44"/>
      <c r="L17" s="33"/>
      <c r="M17" s="44"/>
      <c r="N17" s="44"/>
      <c r="O17" s="44"/>
    </row>
    <row r="18" spans="1:15" outlineLevel="1" x14ac:dyDescent="0.25">
      <c r="A18" s="6">
        <v>12</v>
      </c>
      <c r="B18" s="7" t="s">
        <v>43</v>
      </c>
      <c r="C18" s="6" t="s">
        <v>44</v>
      </c>
      <c r="D18" s="8" t="s">
        <v>45</v>
      </c>
      <c r="E18" s="9">
        <v>907</v>
      </c>
      <c r="F18" s="10">
        <v>0.72</v>
      </c>
      <c r="G18" s="61" t="s">
        <v>17</v>
      </c>
      <c r="H18" s="27">
        <v>907</v>
      </c>
      <c r="I18" s="43"/>
      <c r="J18" s="43"/>
      <c r="K18" s="43"/>
      <c r="L18" s="27"/>
      <c r="M18" s="43"/>
      <c r="N18" s="43"/>
      <c r="O18" s="43"/>
    </row>
    <row r="19" spans="1:15" outlineLevel="1" x14ac:dyDescent="0.25">
      <c r="A19" s="6">
        <v>13</v>
      </c>
      <c r="B19" s="7" t="s">
        <v>46</v>
      </c>
      <c r="C19" s="6" t="s">
        <v>44</v>
      </c>
      <c r="D19" s="8" t="s">
        <v>47</v>
      </c>
      <c r="E19" s="9">
        <v>574</v>
      </c>
      <c r="F19" s="10">
        <v>0.14000000000000001</v>
      </c>
      <c r="G19" s="59" t="s">
        <v>17</v>
      </c>
      <c r="H19" s="11">
        <v>574</v>
      </c>
      <c r="I19" s="12"/>
      <c r="J19" s="12"/>
      <c r="K19" s="12"/>
      <c r="L19" s="11"/>
      <c r="M19" s="12"/>
      <c r="N19" s="12"/>
      <c r="O19" s="12"/>
    </row>
    <row r="20" spans="1:15" outlineLevel="1" x14ac:dyDescent="0.25">
      <c r="A20" s="6">
        <v>14</v>
      </c>
      <c r="B20" s="7" t="s">
        <v>48</v>
      </c>
      <c r="C20" s="6" t="s">
        <v>44</v>
      </c>
      <c r="D20" s="8" t="s">
        <v>49</v>
      </c>
      <c r="E20" s="9">
        <v>746</v>
      </c>
      <c r="F20" s="10">
        <v>0.54</v>
      </c>
      <c r="G20" s="59" t="s">
        <v>17</v>
      </c>
      <c r="H20" s="11">
        <v>746</v>
      </c>
      <c r="I20" s="12"/>
      <c r="J20" s="12"/>
      <c r="K20" s="12"/>
      <c r="L20" s="11"/>
      <c r="M20" s="12"/>
      <c r="N20" s="12"/>
      <c r="O20" s="12"/>
    </row>
    <row r="21" spans="1:15" outlineLevel="1" x14ac:dyDescent="0.25">
      <c r="A21" s="6">
        <v>15</v>
      </c>
      <c r="B21" s="7" t="s">
        <v>50</v>
      </c>
      <c r="C21" s="6" t="s">
        <v>44</v>
      </c>
      <c r="D21" s="8" t="s">
        <v>51</v>
      </c>
      <c r="E21" s="9">
        <v>772</v>
      </c>
      <c r="F21" s="10">
        <v>0.54</v>
      </c>
      <c r="G21" s="59" t="s">
        <v>17</v>
      </c>
      <c r="H21" s="11">
        <v>772</v>
      </c>
      <c r="I21" s="12"/>
      <c r="J21" s="12"/>
      <c r="K21" s="12"/>
      <c r="L21" s="11"/>
      <c r="M21" s="12"/>
      <c r="N21" s="12"/>
      <c r="O21" s="12"/>
    </row>
    <row r="22" spans="1:15" outlineLevel="1" x14ac:dyDescent="0.25">
      <c r="A22" s="6">
        <v>16</v>
      </c>
      <c r="B22" s="7" t="s">
        <v>52</v>
      </c>
      <c r="C22" s="6" t="s">
        <v>44</v>
      </c>
      <c r="D22" s="8" t="s">
        <v>53</v>
      </c>
      <c r="E22" s="9">
        <v>972</v>
      </c>
      <c r="F22" s="10">
        <v>0.72</v>
      </c>
      <c r="G22" s="59" t="s">
        <v>17</v>
      </c>
      <c r="H22" s="12"/>
      <c r="I22" s="18">
        <v>972</v>
      </c>
      <c r="J22" s="12"/>
      <c r="K22" s="12"/>
      <c r="L22" s="12"/>
      <c r="M22" s="18"/>
      <c r="N22" s="12"/>
      <c r="O22" s="12"/>
    </row>
    <row r="23" spans="1:15" outlineLevel="1" x14ac:dyDescent="0.25">
      <c r="A23" s="6">
        <v>17</v>
      </c>
      <c r="B23" s="7" t="s">
        <v>54</v>
      </c>
      <c r="C23" s="6" t="s">
        <v>44</v>
      </c>
      <c r="D23" s="8" t="s">
        <v>51</v>
      </c>
      <c r="E23" s="9">
        <v>726</v>
      </c>
      <c r="F23" s="10">
        <v>0.72</v>
      </c>
      <c r="G23" s="59" t="s">
        <v>17</v>
      </c>
      <c r="H23" s="12"/>
      <c r="I23" s="18">
        <v>726</v>
      </c>
      <c r="J23" s="12"/>
      <c r="K23" s="12"/>
      <c r="L23" s="12"/>
      <c r="M23" s="18"/>
      <c r="N23" s="12"/>
      <c r="O23" s="12"/>
    </row>
    <row r="24" spans="1:15" outlineLevel="1" x14ac:dyDescent="0.25">
      <c r="A24" s="6">
        <v>18</v>
      </c>
      <c r="B24" s="7" t="s">
        <v>55</v>
      </c>
      <c r="C24" s="6" t="s">
        <v>44</v>
      </c>
      <c r="D24" s="8" t="s">
        <v>56</v>
      </c>
      <c r="E24" s="9">
        <v>1324</v>
      </c>
      <c r="F24" s="10">
        <v>0.72</v>
      </c>
      <c r="G24" s="59" t="s">
        <v>17</v>
      </c>
      <c r="H24" s="12"/>
      <c r="I24" s="18">
        <v>1324</v>
      </c>
      <c r="J24" s="12"/>
      <c r="K24" s="12"/>
      <c r="L24" s="12"/>
      <c r="M24" s="18"/>
      <c r="N24" s="12"/>
      <c r="O24" s="12"/>
    </row>
    <row r="25" spans="1:15" outlineLevel="1" x14ac:dyDescent="0.25">
      <c r="A25" s="6">
        <v>19</v>
      </c>
      <c r="B25" s="7" t="s">
        <v>57</v>
      </c>
      <c r="C25" s="6" t="s">
        <v>44</v>
      </c>
      <c r="D25" s="8" t="s">
        <v>58</v>
      </c>
      <c r="E25" s="9">
        <v>710</v>
      </c>
      <c r="F25" s="10">
        <v>0.36</v>
      </c>
      <c r="G25" s="59" t="s">
        <v>17</v>
      </c>
      <c r="H25" s="12"/>
      <c r="I25" s="18">
        <v>710</v>
      </c>
      <c r="J25" s="12"/>
      <c r="K25" s="12"/>
      <c r="L25" s="12"/>
      <c r="M25" s="18"/>
      <c r="N25" s="12"/>
      <c r="O25" s="12"/>
    </row>
    <row r="26" spans="1:15" outlineLevel="1" x14ac:dyDescent="0.25">
      <c r="A26" s="6">
        <v>20</v>
      </c>
      <c r="B26" s="7" t="s">
        <v>59</v>
      </c>
      <c r="C26" s="6" t="s">
        <v>44</v>
      </c>
      <c r="D26" s="8" t="s">
        <v>45</v>
      </c>
      <c r="E26" s="9">
        <v>934</v>
      </c>
      <c r="F26" s="10">
        <v>0.54</v>
      </c>
      <c r="G26" s="59" t="s">
        <v>17</v>
      </c>
      <c r="H26" s="12"/>
      <c r="I26" s="18">
        <v>934</v>
      </c>
      <c r="J26" s="12"/>
      <c r="K26" s="12"/>
      <c r="L26" s="12"/>
      <c r="M26" s="18"/>
      <c r="N26" s="12"/>
      <c r="O26" s="12"/>
    </row>
    <row r="27" spans="1:15" outlineLevel="1" x14ac:dyDescent="0.25">
      <c r="A27" s="6">
        <v>21</v>
      </c>
      <c r="B27" s="7" t="s">
        <v>60</v>
      </c>
      <c r="C27" s="6" t="s">
        <v>44</v>
      </c>
      <c r="D27" s="8" t="s">
        <v>27</v>
      </c>
      <c r="E27" s="9">
        <v>1296</v>
      </c>
      <c r="F27" s="10">
        <v>1.98</v>
      </c>
      <c r="G27" s="59" t="s">
        <v>17</v>
      </c>
      <c r="H27" s="12"/>
      <c r="I27" s="18">
        <v>1296</v>
      </c>
      <c r="J27" s="12"/>
      <c r="K27" s="12"/>
      <c r="L27" s="12"/>
      <c r="M27" s="18"/>
      <c r="N27" s="12"/>
      <c r="O27" s="12"/>
    </row>
    <row r="28" spans="1:15" outlineLevel="1" x14ac:dyDescent="0.25">
      <c r="A28" s="6">
        <v>22</v>
      </c>
      <c r="B28" s="7" t="s">
        <v>61</v>
      </c>
      <c r="C28" s="6" t="s">
        <v>44</v>
      </c>
      <c r="D28" s="8" t="s">
        <v>62</v>
      </c>
      <c r="E28" s="9">
        <v>2387</v>
      </c>
      <c r="F28" s="10">
        <v>2.34</v>
      </c>
      <c r="G28" s="59" t="s">
        <v>17</v>
      </c>
      <c r="H28" s="12"/>
      <c r="I28" s="18">
        <v>2387</v>
      </c>
      <c r="J28" s="12"/>
      <c r="K28" s="12"/>
      <c r="L28" s="12"/>
      <c r="M28" s="18"/>
      <c r="N28" s="12"/>
      <c r="O28" s="12"/>
    </row>
    <row r="29" spans="1:15" ht="15.75" outlineLevel="1" thickBot="1" x14ac:dyDescent="0.3">
      <c r="A29" s="6">
        <v>23</v>
      </c>
      <c r="B29" s="7" t="s">
        <v>63</v>
      </c>
      <c r="C29" s="6" t="s">
        <v>44</v>
      </c>
      <c r="D29" s="8" t="s">
        <v>64</v>
      </c>
      <c r="E29" s="9">
        <v>675</v>
      </c>
      <c r="F29" s="10">
        <v>0.36</v>
      </c>
      <c r="G29" s="63" t="s">
        <v>14</v>
      </c>
      <c r="H29" s="23"/>
      <c r="I29" s="24">
        <v>675</v>
      </c>
      <c r="J29" s="23"/>
      <c r="K29" s="23"/>
      <c r="L29" s="23"/>
      <c r="M29" s="24"/>
      <c r="N29" s="23"/>
      <c r="O29" s="23"/>
    </row>
    <row r="30" spans="1:15" ht="15.75" thickBot="1" x14ac:dyDescent="0.3">
      <c r="A30" s="13"/>
      <c r="B30" s="14" t="s">
        <v>65</v>
      </c>
      <c r="C30" s="13"/>
      <c r="D30" s="15" t="s">
        <v>66</v>
      </c>
      <c r="E30" s="16">
        <v>12024</v>
      </c>
      <c r="F30" s="17">
        <v>9.68</v>
      </c>
      <c r="G30" s="45"/>
      <c r="H30" s="31">
        <v>2999</v>
      </c>
      <c r="I30" s="34">
        <v>9025</v>
      </c>
      <c r="J30" s="45"/>
      <c r="K30" s="45"/>
      <c r="L30" s="31">
        <f>COUNTA(B18:B21)</f>
        <v>4</v>
      </c>
      <c r="M30" s="34">
        <f>COUNTA(B22:B29)</f>
        <v>8</v>
      </c>
      <c r="N30" s="45"/>
      <c r="O30" s="45"/>
    </row>
    <row r="31" spans="1:15" ht="15.75" thickBot="1" x14ac:dyDescent="0.3">
      <c r="A31" s="4"/>
      <c r="B31" s="5" t="s">
        <v>67</v>
      </c>
      <c r="C31" s="4"/>
      <c r="D31" s="4"/>
      <c r="E31" s="4"/>
      <c r="F31" s="4"/>
      <c r="G31" s="44"/>
      <c r="H31" s="44"/>
      <c r="I31" s="35"/>
      <c r="J31" s="44"/>
      <c r="K31" s="44"/>
      <c r="L31" s="44"/>
      <c r="M31" s="35"/>
      <c r="N31" s="44"/>
      <c r="O31" s="44"/>
    </row>
    <row r="32" spans="1:15" outlineLevel="1" x14ac:dyDescent="0.25">
      <c r="A32" s="6">
        <v>24</v>
      </c>
      <c r="B32" s="7" t="s">
        <v>68</v>
      </c>
      <c r="C32" s="6" t="s">
        <v>69</v>
      </c>
      <c r="D32" s="8" t="s">
        <v>70</v>
      </c>
      <c r="E32" s="9">
        <v>1065</v>
      </c>
      <c r="F32" s="10">
        <v>1.98</v>
      </c>
      <c r="G32" s="58" t="s">
        <v>14</v>
      </c>
      <c r="H32" s="43"/>
      <c r="I32" s="28">
        <v>1065</v>
      </c>
      <c r="J32" s="43"/>
      <c r="K32" s="43"/>
      <c r="L32" s="43"/>
      <c r="M32" s="28"/>
      <c r="N32" s="43"/>
      <c r="O32" s="43"/>
    </row>
    <row r="33" spans="1:15" outlineLevel="1" x14ac:dyDescent="0.25">
      <c r="A33" s="6">
        <v>25</v>
      </c>
      <c r="B33" s="7" t="s">
        <v>71</v>
      </c>
      <c r="C33" s="6" t="s">
        <v>69</v>
      </c>
      <c r="D33" s="8" t="s">
        <v>47</v>
      </c>
      <c r="E33" s="9">
        <v>580</v>
      </c>
      <c r="F33" s="10">
        <v>0.08</v>
      </c>
      <c r="G33" s="62" t="s">
        <v>14</v>
      </c>
      <c r="H33" s="12"/>
      <c r="I33" s="18">
        <v>580</v>
      </c>
      <c r="J33" s="12"/>
      <c r="K33" s="12"/>
      <c r="L33" s="12"/>
      <c r="M33" s="18"/>
      <c r="N33" s="12"/>
      <c r="O33" s="12"/>
    </row>
    <row r="34" spans="1:15" outlineLevel="1" x14ac:dyDescent="0.25">
      <c r="A34" s="6">
        <v>26</v>
      </c>
      <c r="B34" s="7" t="s">
        <v>72</v>
      </c>
      <c r="C34" s="6" t="s">
        <v>69</v>
      </c>
      <c r="D34" s="8" t="s">
        <v>51</v>
      </c>
      <c r="E34" s="9">
        <v>876</v>
      </c>
      <c r="F34" s="19">
        <v>0</v>
      </c>
      <c r="G34" s="64" t="s">
        <v>73</v>
      </c>
      <c r="H34" s="12"/>
      <c r="I34" s="18">
        <v>876</v>
      </c>
      <c r="J34" s="12"/>
      <c r="K34" s="12"/>
      <c r="L34" s="12"/>
      <c r="M34" s="18"/>
      <c r="N34" s="12"/>
      <c r="O34" s="12"/>
    </row>
    <row r="35" spans="1:15" outlineLevel="1" x14ac:dyDescent="0.25">
      <c r="A35" s="6">
        <v>27</v>
      </c>
      <c r="B35" s="7" t="s">
        <v>74</v>
      </c>
      <c r="C35" s="6" t="s">
        <v>69</v>
      </c>
      <c r="D35" s="8" t="s">
        <v>75</v>
      </c>
      <c r="E35" s="9">
        <v>1042</v>
      </c>
      <c r="F35" s="10">
        <v>1.62</v>
      </c>
      <c r="G35" s="62" t="s">
        <v>14</v>
      </c>
      <c r="H35" s="12"/>
      <c r="I35" s="18">
        <v>1042</v>
      </c>
      <c r="J35" s="12"/>
      <c r="K35" s="12"/>
      <c r="L35" s="12"/>
      <c r="M35" s="18"/>
      <c r="N35" s="12"/>
      <c r="O35" s="12"/>
    </row>
    <row r="36" spans="1:15" outlineLevel="1" x14ac:dyDescent="0.25">
      <c r="A36" s="6">
        <v>28</v>
      </c>
      <c r="B36" s="7" t="s">
        <v>76</v>
      </c>
      <c r="C36" s="6" t="s">
        <v>69</v>
      </c>
      <c r="D36" s="8" t="s">
        <v>77</v>
      </c>
      <c r="E36" s="9">
        <v>661</v>
      </c>
      <c r="F36" s="10">
        <v>0.36</v>
      </c>
      <c r="G36" s="62" t="s">
        <v>14</v>
      </c>
      <c r="H36" s="12"/>
      <c r="I36" s="18">
        <v>661</v>
      </c>
      <c r="J36" s="12"/>
      <c r="K36" s="12"/>
      <c r="L36" s="12"/>
      <c r="M36" s="18"/>
      <c r="N36" s="12"/>
      <c r="O36" s="12"/>
    </row>
    <row r="37" spans="1:15" outlineLevel="1" x14ac:dyDescent="0.25">
      <c r="A37" s="6">
        <v>29</v>
      </c>
      <c r="B37" s="7" t="s">
        <v>78</v>
      </c>
      <c r="C37" s="6" t="s">
        <v>69</v>
      </c>
      <c r="D37" s="8" t="s">
        <v>47</v>
      </c>
      <c r="E37" s="9">
        <v>577</v>
      </c>
      <c r="F37" s="10">
        <v>0.09</v>
      </c>
      <c r="G37" s="62" t="s">
        <v>14</v>
      </c>
      <c r="H37" s="12"/>
      <c r="I37" s="18">
        <v>577</v>
      </c>
      <c r="J37" s="12"/>
      <c r="K37" s="12"/>
      <c r="L37" s="12"/>
      <c r="M37" s="18"/>
      <c r="N37" s="12"/>
      <c r="O37" s="12"/>
    </row>
    <row r="38" spans="1:15" ht="15.75" outlineLevel="1" thickBot="1" x14ac:dyDescent="0.3">
      <c r="A38" s="6">
        <v>30</v>
      </c>
      <c r="B38" s="7" t="s">
        <v>79</v>
      </c>
      <c r="C38" s="6" t="s">
        <v>69</v>
      </c>
      <c r="D38" s="8" t="s">
        <v>80</v>
      </c>
      <c r="E38" s="9">
        <v>919</v>
      </c>
      <c r="F38" s="10">
        <v>0.9</v>
      </c>
      <c r="G38" s="63" t="s">
        <v>14</v>
      </c>
      <c r="H38" s="23"/>
      <c r="I38" s="24">
        <v>919</v>
      </c>
      <c r="J38" s="23"/>
      <c r="K38" s="23"/>
      <c r="L38" s="23"/>
      <c r="M38" s="24"/>
      <c r="N38" s="23"/>
      <c r="O38" s="23"/>
    </row>
    <row r="39" spans="1:15" x14ac:dyDescent="0.25">
      <c r="A39" s="13"/>
      <c r="B39" s="14" t="s">
        <v>81</v>
      </c>
      <c r="C39" s="13"/>
      <c r="D39" s="15" t="s">
        <v>82</v>
      </c>
      <c r="E39" s="16">
        <v>5720</v>
      </c>
      <c r="F39" s="17">
        <v>5.03</v>
      </c>
      <c r="G39" s="45"/>
      <c r="H39" s="45"/>
      <c r="I39" s="34">
        <v>5720</v>
      </c>
      <c r="J39" s="45"/>
      <c r="K39" s="45"/>
      <c r="L39" s="45"/>
      <c r="M39" s="34">
        <f>COUNTA(B32:B38)</f>
        <v>7</v>
      </c>
      <c r="N39" s="45"/>
      <c r="O39" s="45"/>
    </row>
    <row r="40" spans="1:15" ht="15.75" thickBot="1" x14ac:dyDescent="0.3">
      <c r="A40" s="4"/>
      <c r="B40" s="5" t="s">
        <v>83</v>
      </c>
      <c r="C40" s="4"/>
      <c r="D40" s="4"/>
      <c r="E40" s="4"/>
      <c r="F40" s="4"/>
      <c r="G40" s="44"/>
      <c r="H40" s="44"/>
      <c r="I40" s="35"/>
      <c r="J40" s="44"/>
      <c r="K40" s="44"/>
      <c r="L40" s="44"/>
      <c r="M40" s="35"/>
      <c r="N40" s="44"/>
      <c r="O40" s="44"/>
    </row>
    <row r="41" spans="1:15" outlineLevel="1" x14ac:dyDescent="0.25">
      <c r="A41" s="6">
        <v>31</v>
      </c>
      <c r="B41" s="7" t="s">
        <v>84</v>
      </c>
      <c r="C41" s="6" t="s">
        <v>85</v>
      </c>
      <c r="D41" s="8" t="s">
        <v>86</v>
      </c>
      <c r="E41" s="9">
        <v>1674</v>
      </c>
      <c r="F41" s="10">
        <v>2.7</v>
      </c>
      <c r="G41" s="61" t="s">
        <v>17</v>
      </c>
      <c r="H41" s="43"/>
      <c r="I41" s="28">
        <v>1674</v>
      </c>
      <c r="J41" s="43"/>
      <c r="K41" s="43"/>
      <c r="L41" s="43"/>
      <c r="M41" s="28"/>
      <c r="N41" s="43"/>
      <c r="O41" s="43"/>
    </row>
    <row r="42" spans="1:15" outlineLevel="1" x14ac:dyDescent="0.25">
      <c r="A42" s="6">
        <v>32</v>
      </c>
      <c r="B42" s="7" t="s">
        <v>87</v>
      </c>
      <c r="C42" s="6" t="s">
        <v>85</v>
      </c>
      <c r="D42" s="8" t="s">
        <v>88</v>
      </c>
      <c r="E42" s="9">
        <v>1559</v>
      </c>
      <c r="F42" s="10">
        <v>3.06</v>
      </c>
      <c r="G42" s="59" t="s">
        <v>17</v>
      </c>
      <c r="H42" s="12"/>
      <c r="I42" s="12"/>
      <c r="J42" s="20">
        <v>1559</v>
      </c>
      <c r="K42" s="12"/>
      <c r="L42" s="12"/>
      <c r="M42" s="12"/>
      <c r="N42" s="20"/>
      <c r="O42" s="12"/>
    </row>
    <row r="43" spans="1:15" outlineLevel="1" x14ac:dyDescent="0.25">
      <c r="A43" s="6">
        <v>33</v>
      </c>
      <c r="B43" s="7" t="s">
        <v>89</v>
      </c>
      <c r="C43" s="6" t="s">
        <v>85</v>
      </c>
      <c r="D43" s="8" t="s">
        <v>31</v>
      </c>
      <c r="E43" s="9">
        <v>918</v>
      </c>
      <c r="F43" s="10">
        <v>0.72</v>
      </c>
      <c r="G43" s="59" t="s">
        <v>17</v>
      </c>
      <c r="H43" s="12"/>
      <c r="I43" s="12"/>
      <c r="J43" s="20">
        <v>918</v>
      </c>
      <c r="K43" s="12"/>
      <c r="L43" s="12"/>
      <c r="M43" s="12"/>
      <c r="N43" s="20"/>
      <c r="O43" s="12"/>
    </row>
    <row r="44" spans="1:15" outlineLevel="1" x14ac:dyDescent="0.25">
      <c r="A44" s="6">
        <v>34</v>
      </c>
      <c r="B44" s="7" t="s">
        <v>90</v>
      </c>
      <c r="C44" s="6" t="s">
        <v>85</v>
      </c>
      <c r="D44" s="8" t="s">
        <v>91</v>
      </c>
      <c r="E44" s="9">
        <v>1064</v>
      </c>
      <c r="F44" s="10">
        <v>0.72</v>
      </c>
      <c r="G44" s="59" t="s">
        <v>17</v>
      </c>
      <c r="H44" s="12"/>
      <c r="I44" s="12"/>
      <c r="J44" s="20">
        <v>1064</v>
      </c>
      <c r="K44" s="12"/>
      <c r="L44" s="12"/>
      <c r="M44" s="12"/>
      <c r="N44" s="20"/>
      <c r="O44" s="12"/>
    </row>
    <row r="45" spans="1:15" ht="15.75" outlineLevel="1" thickBot="1" x14ac:dyDescent="0.3">
      <c r="A45" s="6">
        <v>35</v>
      </c>
      <c r="B45" s="7" t="s">
        <v>92</v>
      </c>
      <c r="C45" s="6" t="s">
        <v>85</v>
      </c>
      <c r="D45" s="8" t="s">
        <v>56</v>
      </c>
      <c r="E45" s="9">
        <v>1240</v>
      </c>
      <c r="F45" s="10">
        <v>1.26</v>
      </c>
      <c r="G45" s="63" t="s">
        <v>14</v>
      </c>
      <c r="H45" s="23"/>
      <c r="I45" s="23"/>
      <c r="J45" s="25">
        <v>1240</v>
      </c>
      <c r="K45" s="23"/>
      <c r="L45" s="23"/>
      <c r="M45" s="23"/>
      <c r="N45" s="25"/>
      <c r="O45" s="23"/>
    </row>
    <row r="46" spans="1:15" ht="15.75" thickBot="1" x14ac:dyDescent="0.3">
      <c r="A46" s="13"/>
      <c r="B46" s="14" t="s">
        <v>93</v>
      </c>
      <c r="C46" s="13"/>
      <c r="D46" s="15" t="s">
        <v>94</v>
      </c>
      <c r="E46" s="16">
        <v>6455</v>
      </c>
      <c r="F46" s="17">
        <v>8.4599999999999991</v>
      </c>
      <c r="G46" s="45"/>
      <c r="H46" s="45"/>
      <c r="I46" s="36">
        <v>1674</v>
      </c>
      <c r="J46" s="37">
        <v>4782</v>
      </c>
      <c r="K46" s="45"/>
      <c r="L46" s="45"/>
      <c r="M46" s="36">
        <f>COUNTA(B41)</f>
        <v>1</v>
      </c>
      <c r="N46" s="37">
        <f>COUNTA(B42:B45)</f>
        <v>4</v>
      </c>
      <c r="O46" s="45"/>
    </row>
    <row r="47" spans="1:15" ht="15.75" thickBot="1" x14ac:dyDescent="0.3">
      <c r="A47" s="4"/>
      <c r="B47" s="5" t="s">
        <v>95</v>
      </c>
      <c r="C47" s="4"/>
      <c r="D47" s="4"/>
      <c r="E47" s="4"/>
      <c r="F47" s="4"/>
      <c r="G47" s="44"/>
      <c r="H47" s="44"/>
      <c r="I47" s="44"/>
      <c r="J47" s="38"/>
      <c r="K47" s="44"/>
      <c r="L47" s="44"/>
      <c r="M47" s="44"/>
      <c r="N47" s="38"/>
      <c r="O47" s="44"/>
    </row>
    <row r="48" spans="1:15" outlineLevel="1" x14ac:dyDescent="0.25">
      <c r="A48" s="6">
        <v>36</v>
      </c>
      <c r="B48" s="7" t="s">
        <v>96</v>
      </c>
      <c r="C48" s="6" t="s">
        <v>97</v>
      </c>
      <c r="D48" s="8" t="s">
        <v>29</v>
      </c>
      <c r="E48" s="9">
        <v>781</v>
      </c>
      <c r="F48" s="10">
        <v>0.54</v>
      </c>
      <c r="G48" s="58" t="s">
        <v>14</v>
      </c>
      <c r="H48" s="43"/>
      <c r="I48" s="43"/>
      <c r="J48" s="29">
        <v>781</v>
      </c>
      <c r="K48" s="43"/>
      <c r="L48" s="43"/>
      <c r="M48" s="43"/>
      <c r="N48" s="29"/>
      <c r="O48" s="43"/>
    </row>
    <row r="49" spans="1:15" ht="15.75" outlineLevel="1" thickBot="1" x14ac:dyDescent="0.3">
      <c r="A49" s="6">
        <v>37</v>
      </c>
      <c r="B49" s="7" t="s">
        <v>98</v>
      </c>
      <c r="C49" s="6" t="s">
        <v>97</v>
      </c>
      <c r="D49" s="8" t="s">
        <v>99</v>
      </c>
      <c r="E49" s="9">
        <v>744</v>
      </c>
      <c r="F49" s="10">
        <v>0.36</v>
      </c>
      <c r="G49" s="63" t="s">
        <v>14</v>
      </c>
      <c r="H49" s="23"/>
      <c r="I49" s="23"/>
      <c r="J49" s="25">
        <v>744</v>
      </c>
      <c r="K49" s="23"/>
      <c r="L49" s="23"/>
      <c r="M49" s="23"/>
      <c r="N49" s="25"/>
      <c r="O49" s="23"/>
    </row>
    <row r="50" spans="1:15" x14ac:dyDescent="0.25">
      <c r="A50" s="13"/>
      <c r="B50" s="14" t="s">
        <v>100</v>
      </c>
      <c r="C50" s="13"/>
      <c r="D50" s="15" t="s">
        <v>101</v>
      </c>
      <c r="E50" s="16">
        <v>1525</v>
      </c>
      <c r="F50" s="17">
        <v>0.9</v>
      </c>
      <c r="G50" s="45"/>
      <c r="H50" s="45"/>
      <c r="I50" s="45"/>
      <c r="J50" s="37">
        <v>1525</v>
      </c>
      <c r="K50" s="45"/>
      <c r="L50" s="45"/>
      <c r="M50" s="45"/>
      <c r="N50" s="37">
        <f>COUNTA(B48:B49)</f>
        <v>2</v>
      </c>
      <c r="O50" s="45"/>
    </row>
    <row r="51" spans="1:15" ht="15.75" thickBot="1" x14ac:dyDescent="0.3">
      <c r="A51" s="4"/>
      <c r="B51" s="5" t="s">
        <v>102</v>
      </c>
      <c r="C51" s="4"/>
      <c r="D51" s="4"/>
      <c r="E51" s="4"/>
      <c r="F51" s="4"/>
      <c r="G51" s="44"/>
      <c r="H51" s="44"/>
      <c r="I51" s="44"/>
      <c r="J51" s="38"/>
      <c r="K51" s="44"/>
      <c r="L51" s="44"/>
      <c r="M51" s="44"/>
      <c r="N51" s="38"/>
      <c r="O51" s="44"/>
    </row>
    <row r="52" spans="1:15" outlineLevel="1" x14ac:dyDescent="0.25">
      <c r="A52" s="6">
        <v>38</v>
      </c>
      <c r="B52" s="7" t="s">
        <v>103</v>
      </c>
      <c r="C52" s="6" t="s">
        <v>104</v>
      </c>
      <c r="D52" s="8" t="s">
        <v>29</v>
      </c>
      <c r="E52" s="9">
        <v>774</v>
      </c>
      <c r="F52" s="10">
        <v>0.54</v>
      </c>
      <c r="G52" s="58" t="s">
        <v>14</v>
      </c>
      <c r="H52" s="43"/>
      <c r="I52" s="43"/>
      <c r="J52" s="29">
        <v>774</v>
      </c>
      <c r="K52" s="12"/>
      <c r="L52" s="43"/>
      <c r="M52" s="43"/>
      <c r="N52" s="29"/>
      <c r="O52" s="12"/>
    </row>
    <row r="53" spans="1:15" outlineLevel="1" x14ac:dyDescent="0.25">
      <c r="A53" s="6">
        <v>39</v>
      </c>
      <c r="B53" s="7" t="s">
        <v>105</v>
      </c>
      <c r="C53" s="6" t="s">
        <v>104</v>
      </c>
      <c r="D53" s="8" t="s">
        <v>106</v>
      </c>
      <c r="E53" s="9">
        <v>1691</v>
      </c>
      <c r="F53" s="10">
        <v>3.6</v>
      </c>
      <c r="G53" s="62" t="s">
        <v>14</v>
      </c>
      <c r="H53" s="12"/>
      <c r="I53" s="12"/>
      <c r="J53" s="20">
        <v>1691</v>
      </c>
      <c r="K53" s="12"/>
      <c r="L53" s="12"/>
      <c r="M53" s="12"/>
      <c r="N53" s="20"/>
      <c r="O53" s="12"/>
    </row>
    <row r="54" spans="1:15" outlineLevel="1" x14ac:dyDescent="0.25">
      <c r="A54" s="6">
        <v>40</v>
      </c>
      <c r="B54" s="7" t="s">
        <v>107</v>
      </c>
      <c r="C54" s="6" t="s">
        <v>104</v>
      </c>
      <c r="D54" s="8" t="s">
        <v>64</v>
      </c>
      <c r="E54" s="9">
        <v>657</v>
      </c>
      <c r="F54" s="10">
        <v>0.54</v>
      </c>
      <c r="G54" s="62" t="s">
        <v>14</v>
      </c>
      <c r="H54" s="12"/>
      <c r="I54" s="12"/>
      <c r="J54" s="20">
        <v>657</v>
      </c>
      <c r="K54" s="12"/>
      <c r="L54" s="12"/>
      <c r="M54" s="12"/>
      <c r="N54" s="20"/>
      <c r="O54" s="12"/>
    </row>
    <row r="55" spans="1:15" outlineLevel="1" x14ac:dyDescent="0.25">
      <c r="A55" s="6">
        <v>41</v>
      </c>
      <c r="B55" s="7" t="s">
        <v>108</v>
      </c>
      <c r="C55" s="6" t="s">
        <v>104</v>
      </c>
      <c r="D55" s="8" t="s">
        <v>64</v>
      </c>
      <c r="E55" s="9">
        <v>644</v>
      </c>
      <c r="F55" s="10">
        <v>0.54</v>
      </c>
      <c r="G55" s="62" t="s">
        <v>14</v>
      </c>
      <c r="H55" s="12"/>
      <c r="I55" s="12"/>
      <c r="J55" s="20">
        <v>644</v>
      </c>
      <c r="K55" s="12"/>
      <c r="L55" s="12"/>
      <c r="M55" s="12"/>
      <c r="N55" s="20"/>
      <c r="O55" s="12"/>
    </row>
    <row r="56" spans="1:15" outlineLevel="1" x14ac:dyDescent="0.25">
      <c r="A56" s="6">
        <v>42</v>
      </c>
      <c r="B56" s="7" t="s">
        <v>109</v>
      </c>
      <c r="C56" s="6" t="s">
        <v>104</v>
      </c>
      <c r="D56" s="8" t="s">
        <v>99</v>
      </c>
      <c r="E56" s="9">
        <v>742</v>
      </c>
      <c r="F56" s="10">
        <v>0.1</v>
      </c>
      <c r="G56" s="62" t="s">
        <v>14</v>
      </c>
      <c r="H56" s="12"/>
      <c r="I56" s="12"/>
      <c r="J56" s="20">
        <v>742</v>
      </c>
      <c r="K56" s="12"/>
      <c r="L56" s="12"/>
      <c r="M56" s="12"/>
      <c r="N56" s="20"/>
      <c r="O56" s="12"/>
    </row>
    <row r="57" spans="1:15" outlineLevel="1" x14ac:dyDescent="0.25">
      <c r="A57" s="6">
        <v>43</v>
      </c>
      <c r="B57" s="7" t="s">
        <v>110</v>
      </c>
      <c r="C57" s="6" t="s">
        <v>104</v>
      </c>
      <c r="D57" s="8" t="s">
        <v>49</v>
      </c>
      <c r="E57" s="9">
        <v>752</v>
      </c>
      <c r="F57" s="10">
        <v>0.54</v>
      </c>
      <c r="G57" s="62" t="s">
        <v>14</v>
      </c>
      <c r="H57" s="12"/>
      <c r="I57" s="12"/>
      <c r="J57" s="20">
        <v>752</v>
      </c>
      <c r="K57" s="12"/>
      <c r="L57" s="12"/>
      <c r="M57" s="12"/>
      <c r="N57" s="20"/>
      <c r="O57" s="12"/>
    </row>
    <row r="58" spans="1:15" outlineLevel="1" x14ac:dyDescent="0.25">
      <c r="A58" s="6">
        <v>44</v>
      </c>
      <c r="B58" s="7" t="s">
        <v>111</v>
      </c>
      <c r="C58" s="6" t="s">
        <v>104</v>
      </c>
      <c r="D58" s="8" t="s">
        <v>112</v>
      </c>
      <c r="E58" s="9">
        <v>756</v>
      </c>
      <c r="F58" s="10">
        <v>0.9</v>
      </c>
      <c r="G58" s="62" t="s">
        <v>14</v>
      </c>
      <c r="H58" s="12"/>
      <c r="I58" s="12"/>
      <c r="J58" s="20">
        <v>756</v>
      </c>
      <c r="K58" s="12"/>
      <c r="L58" s="12"/>
      <c r="M58" s="12"/>
      <c r="N58" s="20"/>
      <c r="O58" s="12"/>
    </row>
    <row r="59" spans="1:15" outlineLevel="1" x14ac:dyDescent="0.25">
      <c r="A59" s="6">
        <v>45</v>
      </c>
      <c r="B59" s="7" t="s">
        <v>113</v>
      </c>
      <c r="C59" s="6" t="s">
        <v>104</v>
      </c>
      <c r="D59" s="8" t="s">
        <v>114</v>
      </c>
      <c r="E59" s="9">
        <v>596</v>
      </c>
      <c r="F59" s="10">
        <v>0.18</v>
      </c>
      <c r="G59" s="62" t="s">
        <v>14</v>
      </c>
      <c r="H59" s="12"/>
      <c r="I59" s="12"/>
      <c r="J59" s="20">
        <v>596</v>
      </c>
      <c r="K59" s="12"/>
      <c r="L59" s="12"/>
      <c r="M59" s="12"/>
      <c r="N59" s="20"/>
      <c r="O59" s="12"/>
    </row>
    <row r="60" spans="1:15" outlineLevel="1" x14ac:dyDescent="0.25">
      <c r="A60" s="6">
        <v>46</v>
      </c>
      <c r="B60" s="7" t="s">
        <v>115</v>
      </c>
      <c r="C60" s="6" t="s">
        <v>104</v>
      </c>
      <c r="D60" s="8" t="s">
        <v>77</v>
      </c>
      <c r="E60" s="9">
        <v>640</v>
      </c>
      <c r="F60" s="10">
        <v>0.15</v>
      </c>
      <c r="G60" s="62" t="s">
        <v>14</v>
      </c>
      <c r="H60" s="12"/>
      <c r="I60" s="12"/>
      <c r="J60" s="20">
        <v>640</v>
      </c>
      <c r="K60" s="12"/>
      <c r="L60" s="12"/>
      <c r="M60" s="12"/>
      <c r="N60" s="20"/>
      <c r="O60" s="12"/>
    </row>
    <row r="61" spans="1:15" outlineLevel="1" x14ac:dyDescent="0.25">
      <c r="A61" s="6">
        <v>47</v>
      </c>
      <c r="B61" s="7" t="s">
        <v>116</v>
      </c>
      <c r="C61" s="6" t="s">
        <v>104</v>
      </c>
      <c r="D61" s="8" t="s">
        <v>117</v>
      </c>
      <c r="E61" s="9">
        <v>1963</v>
      </c>
      <c r="F61" s="10">
        <v>2.52</v>
      </c>
      <c r="G61" s="62" t="s">
        <v>14</v>
      </c>
      <c r="H61" s="12"/>
      <c r="I61" s="12"/>
      <c r="J61" s="20">
        <v>1963</v>
      </c>
      <c r="K61" s="12"/>
      <c r="L61" s="12"/>
      <c r="M61" s="12"/>
      <c r="N61" s="20"/>
      <c r="O61" s="12"/>
    </row>
    <row r="62" spans="1:15" outlineLevel="1" x14ac:dyDescent="0.25">
      <c r="A62" s="6">
        <v>48</v>
      </c>
      <c r="B62" s="7" t="s">
        <v>118</v>
      </c>
      <c r="C62" s="6" t="s">
        <v>104</v>
      </c>
      <c r="D62" s="8" t="s">
        <v>119</v>
      </c>
      <c r="E62" s="9">
        <v>772</v>
      </c>
      <c r="F62" s="10">
        <v>0.9</v>
      </c>
      <c r="G62" s="62" t="s">
        <v>14</v>
      </c>
      <c r="H62" s="12"/>
      <c r="I62" s="12"/>
      <c r="J62" s="20">
        <v>772</v>
      </c>
      <c r="K62" s="12"/>
      <c r="L62" s="12"/>
      <c r="M62" s="12"/>
      <c r="N62" s="20"/>
      <c r="O62" s="12"/>
    </row>
    <row r="63" spans="1:15" outlineLevel="1" x14ac:dyDescent="0.25">
      <c r="A63" s="6">
        <v>49</v>
      </c>
      <c r="B63" s="7" t="s">
        <v>120</v>
      </c>
      <c r="C63" s="6" t="s">
        <v>104</v>
      </c>
      <c r="D63" s="8" t="s">
        <v>47</v>
      </c>
      <c r="E63" s="9">
        <v>557</v>
      </c>
      <c r="F63" s="10">
        <v>0.16</v>
      </c>
      <c r="G63" s="62" t="s">
        <v>14</v>
      </c>
      <c r="H63" s="12"/>
      <c r="I63" s="12"/>
      <c r="J63" s="20">
        <v>557</v>
      </c>
      <c r="K63" s="12"/>
      <c r="L63" s="12"/>
      <c r="M63" s="12"/>
      <c r="N63" s="20"/>
      <c r="O63" s="12"/>
    </row>
    <row r="64" spans="1:15" outlineLevel="1" x14ac:dyDescent="0.25">
      <c r="A64" s="6">
        <v>50</v>
      </c>
      <c r="B64" s="7" t="s">
        <v>121</v>
      </c>
      <c r="C64" s="6" t="s">
        <v>104</v>
      </c>
      <c r="D64" s="8" t="s">
        <v>80</v>
      </c>
      <c r="E64" s="9">
        <v>939</v>
      </c>
      <c r="F64" s="10">
        <v>0.72</v>
      </c>
      <c r="G64" s="62" t="s">
        <v>14</v>
      </c>
      <c r="H64" s="12"/>
      <c r="I64" s="12"/>
      <c r="J64" s="12"/>
      <c r="K64" s="21">
        <v>939</v>
      </c>
      <c r="L64" s="12"/>
      <c r="M64" s="12"/>
      <c r="N64" s="12"/>
      <c r="O64" s="21"/>
    </row>
    <row r="65" spans="1:15" outlineLevel="1" x14ac:dyDescent="0.25">
      <c r="A65" s="6">
        <v>51</v>
      </c>
      <c r="B65" s="7" t="s">
        <v>122</v>
      </c>
      <c r="C65" s="6" t="s">
        <v>104</v>
      </c>
      <c r="D65" s="8" t="s">
        <v>58</v>
      </c>
      <c r="E65" s="9">
        <v>692</v>
      </c>
      <c r="F65" s="10">
        <v>0.36</v>
      </c>
      <c r="G65" s="62" t="s">
        <v>14</v>
      </c>
      <c r="H65" s="12"/>
      <c r="I65" s="12"/>
      <c r="J65" s="12"/>
      <c r="K65" s="21">
        <v>692</v>
      </c>
      <c r="L65" s="12"/>
      <c r="M65" s="12"/>
      <c r="N65" s="12"/>
      <c r="O65" s="21"/>
    </row>
    <row r="66" spans="1:15" outlineLevel="1" x14ac:dyDescent="0.25">
      <c r="A66" s="6">
        <v>52</v>
      </c>
      <c r="B66" s="7" t="s">
        <v>123</v>
      </c>
      <c r="C66" s="6" t="s">
        <v>104</v>
      </c>
      <c r="D66" s="8" t="s">
        <v>124</v>
      </c>
      <c r="E66" s="9">
        <v>965</v>
      </c>
      <c r="F66" s="10">
        <v>0.9</v>
      </c>
      <c r="G66" s="62" t="s">
        <v>14</v>
      </c>
      <c r="H66" s="12"/>
      <c r="I66" s="12"/>
      <c r="J66" s="12"/>
      <c r="K66" s="21">
        <v>965</v>
      </c>
      <c r="L66" s="12"/>
      <c r="M66" s="12"/>
      <c r="N66" s="12"/>
      <c r="O66" s="21"/>
    </row>
    <row r="67" spans="1:15" outlineLevel="1" x14ac:dyDescent="0.25">
      <c r="A67" s="6">
        <v>53</v>
      </c>
      <c r="B67" s="7" t="s">
        <v>125</v>
      </c>
      <c r="C67" s="6" t="s">
        <v>104</v>
      </c>
      <c r="D67" s="8" t="s">
        <v>126</v>
      </c>
      <c r="E67" s="9">
        <v>1069</v>
      </c>
      <c r="F67" s="10">
        <v>0.72</v>
      </c>
      <c r="G67" s="62" t="s">
        <v>14</v>
      </c>
      <c r="H67" s="12"/>
      <c r="I67" s="12"/>
      <c r="J67" s="12"/>
      <c r="K67" s="21">
        <v>1069</v>
      </c>
      <c r="L67" s="12"/>
      <c r="M67" s="12"/>
      <c r="N67" s="12"/>
      <c r="O67" s="21"/>
    </row>
    <row r="68" spans="1:15" ht="15.75" outlineLevel="1" thickBot="1" x14ac:dyDescent="0.3">
      <c r="A68" s="6">
        <v>54</v>
      </c>
      <c r="B68" s="7" t="s">
        <v>127</v>
      </c>
      <c r="C68" s="6" t="s">
        <v>104</v>
      </c>
      <c r="D68" s="8" t="s">
        <v>47</v>
      </c>
      <c r="E68" s="9">
        <v>568</v>
      </c>
      <c r="F68" s="10">
        <v>0.36</v>
      </c>
      <c r="G68" s="63" t="s">
        <v>14</v>
      </c>
      <c r="H68" s="23"/>
      <c r="I68" s="23"/>
      <c r="J68" s="23"/>
      <c r="K68" s="26">
        <v>568</v>
      </c>
      <c r="L68" s="23"/>
      <c r="M68" s="23"/>
      <c r="N68" s="23"/>
      <c r="O68" s="26"/>
    </row>
    <row r="69" spans="1:15" ht="15.75" thickBot="1" x14ac:dyDescent="0.3">
      <c r="A69" s="13"/>
      <c r="B69" s="14" t="s">
        <v>128</v>
      </c>
      <c r="C69" s="13"/>
      <c r="D69" s="15" t="s">
        <v>129</v>
      </c>
      <c r="E69" s="16">
        <v>14777</v>
      </c>
      <c r="F69" s="17">
        <v>13.73</v>
      </c>
      <c r="G69" s="45"/>
      <c r="H69" s="45"/>
      <c r="I69" s="45"/>
      <c r="J69" s="39">
        <v>10545</v>
      </c>
      <c r="K69" s="40">
        <v>4233</v>
      </c>
      <c r="L69" s="45"/>
      <c r="M69" s="45"/>
      <c r="N69" s="39">
        <f>COUNTA(B52:B63)</f>
        <v>12</v>
      </c>
      <c r="O69" s="40">
        <f>COUNTA(B64:B68)</f>
        <v>5</v>
      </c>
    </row>
    <row r="70" spans="1:15" ht="15.75" thickBot="1" x14ac:dyDescent="0.3">
      <c r="A70" s="4"/>
      <c r="B70" s="5" t="s">
        <v>130</v>
      </c>
      <c r="C70" s="4"/>
      <c r="D70" s="4"/>
      <c r="E70" s="4"/>
      <c r="F70" s="4"/>
      <c r="G70" s="44"/>
      <c r="H70" s="44"/>
      <c r="I70" s="44"/>
      <c r="J70" s="44"/>
      <c r="K70" s="41"/>
      <c r="L70" s="44"/>
      <c r="M70" s="44"/>
      <c r="N70" s="44"/>
      <c r="O70" s="41"/>
    </row>
    <row r="71" spans="1:15" outlineLevel="1" x14ac:dyDescent="0.25">
      <c r="A71" s="6">
        <v>55</v>
      </c>
      <c r="B71" s="7" t="s">
        <v>131</v>
      </c>
      <c r="C71" s="6" t="s">
        <v>132</v>
      </c>
      <c r="D71" s="8" t="s">
        <v>77</v>
      </c>
      <c r="E71" s="9">
        <v>652</v>
      </c>
      <c r="F71" s="10">
        <v>0.36</v>
      </c>
      <c r="G71" s="61" t="s">
        <v>17</v>
      </c>
      <c r="H71" s="43"/>
      <c r="I71" s="43"/>
      <c r="J71" s="43"/>
      <c r="K71" s="30">
        <v>652</v>
      </c>
      <c r="L71" s="43"/>
      <c r="M71" s="43"/>
      <c r="N71" s="43"/>
      <c r="O71" s="30"/>
    </row>
    <row r="72" spans="1:15" outlineLevel="1" x14ac:dyDescent="0.25">
      <c r="A72" s="6">
        <v>56</v>
      </c>
      <c r="B72" s="7" t="s">
        <v>133</v>
      </c>
      <c r="C72" s="6" t="s">
        <v>132</v>
      </c>
      <c r="D72" s="8" t="s">
        <v>99</v>
      </c>
      <c r="E72" s="9">
        <v>678</v>
      </c>
      <c r="F72" s="10">
        <v>0.72</v>
      </c>
      <c r="G72" s="59" t="s">
        <v>17</v>
      </c>
      <c r="H72" s="12"/>
      <c r="I72" s="12"/>
      <c r="J72" s="12"/>
      <c r="K72" s="21">
        <v>678</v>
      </c>
      <c r="L72" s="12"/>
      <c r="M72" s="12"/>
      <c r="N72" s="12"/>
      <c r="O72" s="21"/>
    </row>
    <row r="73" spans="1:15" outlineLevel="1" x14ac:dyDescent="0.25">
      <c r="A73" s="6">
        <v>57</v>
      </c>
      <c r="B73" s="7" t="s">
        <v>134</v>
      </c>
      <c r="C73" s="6" t="s">
        <v>132</v>
      </c>
      <c r="D73" s="8" t="s">
        <v>114</v>
      </c>
      <c r="E73" s="9">
        <v>600</v>
      </c>
      <c r="F73" s="10">
        <v>0.17</v>
      </c>
      <c r="G73" s="59" t="s">
        <v>17</v>
      </c>
      <c r="H73" s="12"/>
      <c r="I73" s="12"/>
      <c r="J73" s="12"/>
      <c r="K73" s="21">
        <v>600</v>
      </c>
      <c r="L73" s="12"/>
      <c r="M73" s="12"/>
      <c r="N73" s="12"/>
      <c r="O73" s="21"/>
    </row>
    <row r="74" spans="1:15" ht="15.75" outlineLevel="1" thickBot="1" x14ac:dyDescent="0.3">
      <c r="A74" s="6">
        <v>58</v>
      </c>
      <c r="B74" s="7" t="s">
        <v>135</v>
      </c>
      <c r="C74" s="6" t="s">
        <v>132</v>
      </c>
      <c r="D74" s="8" t="s">
        <v>47</v>
      </c>
      <c r="E74" s="9">
        <v>577</v>
      </c>
      <c r="F74" s="10">
        <v>0.1</v>
      </c>
      <c r="G74" s="60" t="s">
        <v>17</v>
      </c>
      <c r="H74" s="23"/>
      <c r="I74" s="23"/>
      <c r="J74" s="23"/>
      <c r="K74" s="26">
        <v>577</v>
      </c>
      <c r="L74" s="23"/>
      <c r="M74" s="23"/>
      <c r="N74" s="23"/>
      <c r="O74" s="26"/>
    </row>
    <row r="75" spans="1:15" x14ac:dyDescent="0.25">
      <c r="A75" s="13"/>
      <c r="B75" s="14" t="s">
        <v>136</v>
      </c>
      <c r="C75" s="13"/>
      <c r="D75" s="15" t="s">
        <v>137</v>
      </c>
      <c r="E75" s="16">
        <v>2506</v>
      </c>
      <c r="F75" s="17">
        <v>1.35</v>
      </c>
      <c r="G75" s="45"/>
      <c r="H75" s="45"/>
      <c r="I75" s="45"/>
      <c r="J75" s="45"/>
      <c r="K75" s="40">
        <v>2506</v>
      </c>
      <c r="L75" s="45"/>
      <c r="M75" s="45"/>
      <c r="N75" s="45"/>
      <c r="O75" s="40">
        <f>COUNTA(B71:B74)</f>
        <v>4</v>
      </c>
    </row>
    <row r="76" spans="1:15" ht="15.75" thickBot="1" x14ac:dyDescent="0.3">
      <c r="A76" s="4"/>
      <c r="B76" s="5" t="s">
        <v>138</v>
      </c>
      <c r="C76" s="4"/>
      <c r="D76" s="4"/>
      <c r="E76" s="4"/>
      <c r="F76" s="4"/>
      <c r="G76" s="44"/>
      <c r="H76" s="44"/>
      <c r="I76" s="44"/>
      <c r="J76" s="44"/>
      <c r="K76" s="41"/>
      <c r="L76" s="44"/>
      <c r="M76" s="44"/>
      <c r="N76" s="44"/>
      <c r="O76" s="41"/>
    </row>
    <row r="77" spans="1:15" outlineLevel="1" x14ac:dyDescent="0.25">
      <c r="A77" s="6">
        <v>59</v>
      </c>
      <c r="B77" s="7" t="s">
        <v>139</v>
      </c>
      <c r="C77" s="6" t="s">
        <v>140</v>
      </c>
      <c r="D77" s="8" t="s">
        <v>37</v>
      </c>
      <c r="E77" s="9">
        <v>952</v>
      </c>
      <c r="F77" s="10">
        <v>1.08</v>
      </c>
      <c r="G77" s="61" t="s">
        <v>17</v>
      </c>
      <c r="H77" s="43"/>
      <c r="I77" s="43"/>
      <c r="J77" s="43"/>
      <c r="K77" s="30">
        <v>952</v>
      </c>
      <c r="L77" s="43"/>
      <c r="M77" s="43"/>
      <c r="N77" s="43"/>
      <c r="O77" s="30"/>
    </row>
    <row r="78" spans="1:15" outlineLevel="1" x14ac:dyDescent="0.25">
      <c r="A78" s="6">
        <v>60</v>
      </c>
      <c r="B78" s="7" t="s">
        <v>141</v>
      </c>
      <c r="C78" s="6" t="s">
        <v>140</v>
      </c>
      <c r="D78" s="8" t="s">
        <v>142</v>
      </c>
      <c r="E78" s="9">
        <v>1314</v>
      </c>
      <c r="F78" s="10">
        <v>1.98</v>
      </c>
      <c r="G78" s="59" t="s">
        <v>17</v>
      </c>
      <c r="H78" s="12"/>
      <c r="I78" s="12"/>
      <c r="J78" s="12"/>
      <c r="K78" s="21">
        <v>1314</v>
      </c>
      <c r="L78" s="12"/>
      <c r="M78" s="12"/>
      <c r="N78" s="12"/>
      <c r="O78" s="21"/>
    </row>
    <row r="79" spans="1:15" outlineLevel="1" x14ac:dyDescent="0.25">
      <c r="A79" s="6">
        <v>61</v>
      </c>
      <c r="B79" s="7" t="s">
        <v>143</v>
      </c>
      <c r="C79" s="6" t="s">
        <v>140</v>
      </c>
      <c r="D79" s="8" t="s">
        <v>119</v>
      </c>
      <c r="E79" s="9">
        <v>865</v>
      </c>
      <c r="F79" s="10">
        <v>0.18</v>
      </c>
      <c r="G79" s="59" t="s">
        <v>17</v>
      </c>
      <c r="H79" s="12"/>
      <c r="I79" s="12"/>
      <c r="J79" s="12"/>
      <c r="K79" s="21">
        <v>865</v>
      </c>
      <c r="L79" s="12"/>
      <c r="M79" s="12"/>
      <c r="N79" s="12"/>
      <c r="O79" s="21"/>
    </row>
    <row r="80" spans="1:15" outlineLevel="1" x14ac:dyDescent="0.25">
      <c r="A80" s="6">
        <v>62</v>
      </c>
      <c r="B80" s="7" t="s">
        <v>144</v>
      </c>
      <c r="C80" s="6" t="s">
        <v>140</v>
      </c>
      <c r="D80" s="8" t="s">
        <v>114</v>
      </c>
      <c r="E80" s="9">
        <v>592</v>
      </c>
      <c r="F80" s="10">
        <v>0.08</v>
      </c>
      <c r="G80" s="59" t="s">
        <v>17</v>
      </c>
      <c r="H80" s="12"/>
      <c r="I80" s="12"/>
      <c r="J80" s="12"/>
      <c r="K80" s="21">
        <v>592</v>
      </c>
      <c r="L80" s="12"/>
      <c r="M80" s="12"/>
      <c r="N80" s="12"/>
      <c r="O80" s="21"/>
    </row>
    <row r="81" spans="1:16" ht="15.75" outlineLevel="1" thickBot="1" x14ac:dyDescent="0.3">
      <c r="A81" s="6">
        <v>63</v>
      </c>
      <c r="B81" s="7" t="s">
        <v>145</v>
      </c>
      <c r="C81" s="6" t="s">
        <v>140</v>
      </c>
      <c r="D81" s="8" t="s">
        <v>29</v>
      </c>
      <c r="E81" s="9">
        <v>795</v>
      </c>
      <c r="F81" s="10">
        <v>0.13</v>
      </c>
      <c r="G81" s="60" t="s">
        <v>17</v>
      </c>
      <c r="H81" s="23"/>
      <c r="I81" s="23"/>
      <c r="J81" s="23"/>
      <c r="K81" s="26">
        <v>795</v>
      </c>
      <c r="L81" s="23"/>
      <c r="M81" s="23"/>
      <c r="N81" s="23"/>
      <c r="O81" s="26"/>
    </row>
    <row r="82" spans="1:16" ht="15.75" thickBot="1" x14ac:dyDescent="0.3">
      <c r="A82" s="13"/>
      <c r="B82" s="14" t="s">
        <v>146</v>
      </c>
      <c r="C82" s="13"/>
      <c r="D82" s="15" t="s">
        <v>147</v>
      </c>
      <c r="E82" s="16">
        <v>4518</v>
      </c>
      <c r="F82" s="17">
        <v>3.45</v>
      </c>
      <c r="G82" s="45"/>
      <c r="H82" s="45"/>
      <c r="I82" s="45"/>
      <c r="J82" s="45"/>
      <c r="K82" s="42">
        <v>4518</v>
      </c>
      <c r="L82" s="45"/>
      <c r="M82" s="45"/>
      <c r="N82" s="45"/>
      <c r="O82" s="42">
        <f>COUNTA(B77:B81)</f>
        <v>5</v>
      </c>
    </row>
    <row r="83" spans="1:16" ht="12" customHeight="1" thickBot="1" x14ac:dyDescent="0.3"/>
    <row r="84" spans="1:16" ht="15.75" thickBot="1" x14ac:dyDescent="0.3">
      <c r="A84" s="49"/>
      <c r="B84" s="50" t="s">
        <v>148</v>
      </c>
      <c r="C84" s="49"/>
      <c r="D84" s="51" t="s">
        <v>149</v>
      </c>
      <c r="E84" s="52">
        <v>61313</v>
      </c>
      <c r="F84" s="53">
        <v>63.840000000000011</v>
      </c>
      <c r="G84" s="49"/>
      <c r="H84" s="54">
        <v>16786</v>
      </c>
      <c r="I84" s="55">
        <v>16419</v>
      </c>
      <c r="J84" s="56">
        <v>16851</v>
      </c>
      <c r="K84" s="57">
        <v>11257</v>
      </c>
      <c r="L84" s="54">
        <f>SUM(L2:L82)</f>
        <v>15</v>
      </c>
      <c r="M84" s="55">
        <f t="shared" ref="M84:O84" si="0">SUM(M2:M82)</f>
        <v>16</v>
      </c>
      <c r="N84" s="56">
        <f t="shared" si="0"/>
        <v>18</v>
      </c>
      <c r="O84" s="57">
        <f t="shared" si="0"/>
        <v>14</v>
      </c>
      <c r="P84" s="48"/>
    </row>
    <row r="85" spans="1:16" x14ac:dyDescent="0.25">
      <c r="B85" s="1" t="s">
        <v>150</v>
      </c>
      <c r="L85" s="2"/>
      <c r="M85" s="2"/>
      <c r="N85" s="2"/>
      <c r="O85" s="2"/>
    </row>
    <row r="86" spans="1:16" x14ac:dyDescent="0.25">
      <c r="B86" s="3"/>
    </row>
  </sheetData>
  <autoFilter ref="A1:K86" xr:uid="{00000000-0009-0000-0000-000000000000}"/>
  <pageMargins left="0.75" right="0.75" top="1" bottom="1" header="0.5" footer="0.5"/>
  <pageSetup paperSize="9" scale="8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75806-CE1D-4B96-8CDF-DE4BA5FDCDF9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Оценка аудита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Узун Андрей Иванович</cp:lastModifiedBy>
  <cp:lastPrinted>2026-04-01T12:01:52Z</cp:lastPrinted>
  <dcterms:created xsi:type="dcterms:W3CDTF">2026-04-01T10:27:40Z</dcterms:created>
  <dcterms:modified xsi:type="dcterms:W3CDTF">2026-04-01T14:38:57Z</dcterms:modified>
</cp:coreProperties>
</file>