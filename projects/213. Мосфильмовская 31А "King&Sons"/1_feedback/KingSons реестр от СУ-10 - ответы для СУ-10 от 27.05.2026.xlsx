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W:\Строительный блок\October Group\Мосфильмовская 31А\_00. Обмен\Баринов\фактура для ответа на замечания су10\"/>
    </mc:Choice>
  </mc:AlternateContent>
  <xr:revisionPtr revIDLastSave="0" documentId="13_ncr:1_{04D607E6-7A9E-493E-B5FA-B2A05EB8745F}" xr6:coauthVersionLast="47" xr6:coauthVersionMax="47" xr10:uidLastSave="{00000000-0000-0000-0000-000000000000}"/>
  <bookViews>
    <workbookView xWindow="-120" yWindow="-120" windowWidth="38640" windowHeight="21240" firstSheet="1" activeTab="1" xr2:uid="{00000000-000D-0000-FFFF-FFFF00000000}"/>
  </bookViews>
  <sheets>
    <sheet name="Кульдяев" sheetId="6" state="hidden" r:id="rId1"/>
    <sheet name="Замечания к отправ." sheetId="11" r:id="rId2"/>
  </sheets>
  <definedNames>
    <definedName name="_xlnm._FilterDatabase" localSheetId="1" hidden="1">'Замечания к отправ.'!$A$11:$M$343</definedName>
  </definedNames>
  <calcPr calcId="191029"/>
  <customWorkbookViews>
    <customWorkbookView name="Узун" guid="{68C76187-E5A7-408A-98A7-BC9188996590}"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11" l="1"/>
  <c r="C6" i="11"/>
  <c r="C5" i="11"/>
  <c r="C4" i="11"/>
  <c r="C3" i="11"/>
  <c r="D7" i="11"/>
  <c r="D6" i="11"/>
  <c r="D5" i="11"/>
  <c r="D4" i="11"/>
  <c r="D3" i="11"/>
  <c r="E7" i="11"/>
  <c r="E6" i="11"/>
  <c r="E5" i="11"/>
  <c r="E4" i="11"/>
  <c r="E3" i="11"/>
  <c r="F7" i="11"/>
  <c r="F6" i="11"/>
  <c r="F5" i="11"/>
  <c r="F4" i="11"/>
  <c r="F3" i="11"/>
  <c r="C8" i="11" l="1"/>
  <c r="G3" i="11"/>
  <c r="G7" i="11"/>
  <c r="D8" i="11"/>
  <c r="E8" i="11"/>
  <c r="F8" i="11" l="1"/>
  <c r="G8" i="11" s="1"/>
  <c r="G5" i="11"/>
  <c r="G6" i="11"/>
  <c r="G4" i="11"/>
</calcChain>
</file>

<file path=xl/sharedStrings.xml><?xml version="1.0" encoding="utf-8"?>
<sst xmlns="http://schemas.openxmlformats.org/spreadsheetml/2006/main" count="2164" uniqueCount="1453">
  <si>
    <t>№</t>
  </si>
  <si>
    <t>Лист/Раздел</t>
  </si>
  <si>
    <t>Проблема</t>
  </si>
  <si>
    <t>Описание</t>
  </si>
  <si>
    <t>Решение</t>
  </si>
  <si>
    <t>Категория</t>
  </si>
  <si>
    <t>Чем грозит</t>
  </si>
  <si>
    <t>Кладка</t>
  </si>
  <si>
    <t>АР1, л. 9 Сводная экспликация полов), Тип пола 1 (Автостоянка)</t>
  </si>
  <si>
    <t>Отсутствие гидроизоляционного слоя в основном покрытии паркинга.</t>
  </si>
  <si>
    <t>В пироге пола Тип 1 (площадь 2965 м²) предусмотрен бетон В25 с добавкой MasterGlenium, но полностью отсутствует рулонная или обмазочная гидроизоляция.Недостаток информации по ГИ в АР1/АИ</t>
  </si>
  <si>
    <t>Добавить в пирог пола Тип 1 слой гидроизоляции (например, напыляемой или мастичной), совместимой с финишным покрытием MasterTop.ИЛИ добавить примечание на пункт где прописана гидроизоция</t>
  </si>
  <si>
    <t>Паркинг является зоной интенсивного воздействия влаги (талый снег, реагенты с колес). Отсутствие полноценной ГИ приведет к фильтрации воды через микротрещины в плите перекрытия, коррозии арматуры несущих конструкций и протечкам на нижележащие уровни/фундаментную плиту. Добавки в бетон не заменяют гидроизоляционную мембрану в деформационных швах и местах примыканий.</t>
  </si>
  <si>
    <t>Лестницы и марши</t>
  </si>
  <si>
    <t>АР1, л. 7,п 1</t>
  </si>
  <si>
    <t xml:space="preserve">Ширина маршей лестниц Л-1...Л-4 = 1000 мм — ниже нормативного минимума </t>
  </si>
  <si>
    <t>На чертежах лестничных клеток  и в примечании указана ширина прохода в свету 1000 мм . 
СП 54.13330.2022 п.6.4.2 Таблица 1 требует не менее 1050 мм ,а также СП1.13130.2020 п.4.4.1 подпункт г</t>
  </si>
  <si>
    <t>Увеличить ширину лестничных маршей Л-1...Л-4 до не менее 1050 мм в свету . Пересмотреть конструктивные решения лестничных клеток.</t>
  </si>
  <si>
    <t>Нарушение требований пожарной безопасности. Невозможность пропуска расчётного числа людей при эвакуации. Основание для отказа в согласовании проекта.</t>
  </si>
  <si>
    <t>Ширина проступи лестницы Л-3 = 220 мм</t>
  </si>
  <si>
    <t>Полностью пересмотреть геометрию марша Л-3 в подземной части: увеличить проступь до &gt;=250мм</t>
  </si>
  <si>
    <t>Крайне опасная геометрия для эвакуационной лестницы. Высокий риск травм при экстренной эвакуации.</t>
  </si>
  <si>
    <t>Кровля</t>
  </si>
  <si>
    <t>Раздел АР1, Листы 2,3,5,7</t>
  </si>
  <si>
    <t>ДВ12.4Л EI30 в зоне автостоянки —  требуется EI60/EIS60</t>
  </si>
  <si>
    <t>Требуется установка двери EIS60</t>
  </si>
  <si>
    <t>Паркинг общее</t>
  </si>
  <si>
    <t>АР1, л. 12</t>
  </si>
  <si>
    <t>Машино-места МГН  имеют статус «Временное»</t>
  </si>
  <si>
    <t>В ведомости машино-мест позиции 81М и 110М (для МГН) имеют статус «Временное».  Федеральный закон РФ от 24.11.1995 N 181-ФЗ – О социальной
защите инвалидов в Российской Федерации требует постоянного обеспечения мест для МГН</t>
  </si>
  <si>
    <t>Изменить статус МГН-мест на «Постоянное». Проверить соответствие количества нормативным 10%.</t>
  </si>
  <si>
    <t xml:space="preserve">Статус «Временное» в официальной «Ведомости машино-мест» юридически  и технически опасен. Это указывает на намерение застройщика использовать эти места как обычные после сдачи объекта, что является дискриминацией и нарушением статьи Федеральный закон РФ от 24.11.1995 N 181-ФЗ – О социальной
защите инвалидов в Российской Федерации
СП 59.13330.2020 п 5.2.1 На всех стоянках (парковках) общего пользования около или в объеме жилых,
общественных (в том числе объектов физкультурно-спортивного назначения, культуры и др.) и
производственных зданий, зданий инженерной и транспортной инфраструктуры, а также у зон
рекреации следует выделять не менее 10% машино- мест (но не менее одного места) для людей
с инвалидностью, включая число специализированных машино-мест для транспортных средст
</t>
  </si>
  <si>
    <t>АР2, л. 5,6</t>
  </si>
  <si>
    <t>Отсутствие информации
по уголку Металлический уголок 75х50х5, L=200 мм, ГОСТ 8510-86</t>
  </si>
  <si>
    <t>Отсутствие информации
по уголкам: на л.5
L 75х5 ГОСТ 8509-93 (С245 ГОСТ 27772-88) в узлах примыкания
 на л.6 Металлический уголок 75х50х5, L=200 мм, ГОСТ 8510-86 в узлах В-В и Г-Г
Указанные позиции стального проката (75-й серии) полностью отсутствуют в «Сводной спецификации металла перемычек раздела 133/23-ГК-АР2» и в ведомостях материалов на листе 7.</t>
  </si>
  <si>
    <t>Дать информацию или ссылку на комплект</t>
  </si>
  <si>
    <t>Ошибка в закупках. Подрядчик не сможет закупить материал по проекту, потребуется пересчет и доп. соглашение.</t>
  </si>
  <si>
    <t>АР3, л. 16</t>
  </si>
  <si>
    <t>Отсутствие нормируемого предела огнестойкости для противопожарных преград.</t>
  </si>
  <si>
    <t xml:space="preserve"> Согласно планам (Листы 5, 6), лючки Лк-16Л устанавливаются в стенах, отделяющих поэтажные коридоры (пути эвакуации) от инженерных шахт и технических помещений.Согласно ФЗ-123 (Технический регламент) и СП 2.13130.2020 п. 5.4.4, , заполнение проемов в противопожарных преградах должно иметь предел огнестойкости. В спецификации на Листе 16 для указанных марок стоит прочерк («-»).Пределы огнестойкости заполнения проемов в противопожарных преградах нормируются.</t>
  </si>
  <si>
    <t>Заменить марки лючков на противопожарные с пределом огнестойкости не ниже EI 60 (согласно классу стен шахт).</t>
  </si>
  <si>
    <t>При пожаре в шахте огонь и дым беспрепятственно проникнут в эвакуационный коридор через стальной лист лючка (который прогорит или деформируется за 5-7 минут). Здание не будет принято инспектором ГСН.</t>
  </si>
  <si>
    <t>АР3, л. 17</t>
  </si>
  <si>
    <t>Ошибка в объемах,в ведомости материалов пола</t>
  </si>
  <si>
    <t>Сводная ведомость материалов полов», позиция «Грунтовка KNAUF-Тифенгрунд». Указано количество 0,1 м² на весь объект.</t>
  </si>
  <si>
    <t>Синхронизировать объемы в ведомости с чертежом</t>
  </si>
  <si>
    <t>Экономическая</t>
  </si>
  <si>
    <t>АИ2, л.4</t>
  </si>
  <si>
    <t>Высота полотна ДВ12.5Л/П-1 на чертеже — 2300 мм, высота проёма 2380 мм. В спецификации для ДВ12-5П-1: полотно 2325 мм, проём 2400 мм.</t>
  </si>
  <si>
    <t>Синхронизировать данные чертежа и спецификации. Устранить расхождения размеров.</t>
  </si>
  <si>
    <t>Заказ изделий по неверным размерам, переделки на площадке, увеличение стоимости и сроков строительства.</t>
  </si>
  <si>
    <t>АИ2, л.13</t>
  </si>
  <si>
    <t>Площадь автостоянки на плане (2971,86 м²) не совпадает с площадью в экспликации помещений (-2 этаж): 2948,4 м².</t>
  </si>
  <si>
    <t>Площадь автостоянки на плане (2971,86 м²) не совпадает с площадью в экспликации помещений (-2 этаж): 2948,4 м². Разница 23,46 м² влияет на подсчёт объёмов работ и стоимость отделки полов, потолков и стен.</t>
  </si>
  <si>
    <t>Увеличение стоимости и сроков строительства.</t>
  </si>
  <si>
    <t>АИ2, л.9</t>
  </si>
  <si>
    <t>Рекомендательная</t>
  </si>
  <si>
    <t>Проблемы при эксплуатации объекта.</t>
  </si>
  <si>
    <t>Затруднённая проверка пожарной безопасности при эксплуатации, риск предписаний надзорных органов.</t>
  </si>
  <si>
    <t>АИ2, л.15</t>
  </si>
  <si>
    <t>Расхождение описания замка люка Лк-21Л между чертежом и спецификацией</t>
  </si>
  <si>
    <t>Расхождение описания замка люка Лк-21Л л.15 между чертежом и спецификацией: на чертеже — «Замок с трёхгранным ключом и толкателем для открывания», в спецификации на л.15 — «Замок EURO-LOCKS с накидным ригелем + толкатель</t>
  </si>
  <si>
    <t>Проблемы при эксплуатации объекта,закакз неверных комплектующих</t>
  </si>
  <si>
    <t>АИ2, л.12.3 
-Узел 3</t>
  </si>
  <si>
    <t>Для пола на площадках лестничной клетки (путь эвакуации) применяется керамогранит Atlas Concorde Boost Icor Dust Matte Sensitech, однако в чертеже не указаны показатели противоскольжения покрытия . Слово «Sensitech» — фирменное обозначение технологии антискольжения Atlas Concorde, но конкретный класс не приведён.</t>
  </si>
  <si>
    <t>АИ2, л.12.2 
-Узел 4</t>
  </si>
  <si>
    <t>На узле наружного стыка керамогранита (Узел 4, стык 45°) отсутствует защита наружного угла — не предусмотрен угловой металлический профиль</t>
  </si>
  <si>
    <t>Проблемы при эксплуатации объекта,сокращение срока службы элементов.</t>
  </si>
  <si>
    <t>АИ2, л.12.5 
-Узел 5</t>
  </si>
  <si>
    <t xml:space="preserve">В Узле 5 ширина ниши обозначена переменной 'a' без указания числового значения </t>
  </si>
  <si>
    <t>В Узле 5 (ниша с подсветкой и диффузором в металлическом потолке) ширина ниши обозначена переменной 'a' без указания числового значения или ссылки на лист/таблицу с конкретными размерами. Отсутствие фиксированного размера ниши затрудняет производство работ и не позволяет проверить совместимость с типоразмером диффузора.</t>
  </si>
  <si>
    <t>Снижение качества проектной документации, возможные неоднозначности при производстве работ.</t>
  </si>
  <si>
    <t>АИ2, л.12.1 
-Узел 4</t>
  </si>
  <si>
    <t>на узле 4 не указана марка стали трубы 50х50х3мм.</t>
  </si>
  <si>
    <t>В узле усиления под инсталляцию (Узел 4) не указана марка стали трубы 50х50х3мм.марка стали  не обозначена. Для несущих конструкций, воспринимающих нагрузку от навесного оборудования , марка стали является обязательным параметром.</t>
  </si>
  <si>
    <t>АИ2, л.12.1 
-Узел 2</t>
  </si>
  <si>
    <t>В узле примыкания перегородки (Узел 2) не показана демпферная/уплотнительная лента между стоечным профилем ПС и существующей стеной.</t>
  </si>
  <si>
    <t>Проблемы с подписанием</t>
  </si>
  <si>
    <t>АИ2, л.26</t>
  </si>
  <si>
    <t>Отсутствие эксплуатационного доступа к инженерным коммуникациям (воздуховодам) внутри декоративных пилонов</t>
  </si>
  <si>
    <t>Внутри облицовки пилона расположен воздуховод . Облицовка пилона (нержавеющая сталь + Аквапанель) закрывает доступ к воздуховоду — не предусмотрены ревизионные/сервисные люки для обслуживания фланцевых соединений. Необходимо подтвердить наличие разборной секции или ревизионного люка в облицовке.
Норма: СП 60.13330.2020 п. 7.10.1</t>
  </si>
  <si>
    <t>Необходимо предусмотреть в конструкции облицовки пилона скрытый ревизионный люк или съемную декоративную панель.</t>
  </si>
  <si>
    <t xml:space="preserve">Невозможность проведения плановой очистки и дезинфекции воздуховодов, а также контроля герметичности фланцевых соединений.
В случае протечки или необходимости ремонта смежных систем потребуется полный демонтаж дорогостоящей декоративной облицовки с PVD-покрытием без возможности её восстановления.
</t>
  </si>
  <si>
    <t>АИ2, л.15 л.24</t>
  </si>
  <si>
    <t xml:space="preserve">Люк Лк-21Л л.15   — не указан класс огнестойкости конструкции (EI/E) и класс пожарной опасности материалов люка.
</t>
  </si>
  <si>
    <t xml:space="preserve">"Люк Лк-21Л установленный в вертикальных конструкциях, отделяющих рампу и инженерные шахты от зоны хранения автомобилей, не указан предел огнестойкости — не указан класс огнестойкости конструкции (EI/E) и класс пожарной опасности материалов люка. Для помещений паркинга требуется подтвердить соответствие противопожарным требованиям. 
Согласно ФЗ-123 (Технический регламент) и СП 2.13130.2020 п. 5.4.4, , заполнение проемов в противопожарных преградах должно иметь предел огнестойкости. В спецификации на Листе 15 для указанной марки стоит прочерк («-»).Пределы огнестойкости заполнения проемов в противопожарных преградах нормируются.
</t>
  </si>
  <si>
    <t xml:space="preserve">Дополнить проектную документацию недостающими данными.
</t>
  </si>
  <si>
    <t xml:space="preserve">Возможные коллизии между разделами проектной документации. Требуется координация.
</t>
  </si>
  <si>
    <t>Отделка</t>
  </si>
  <si>
    <t>ТХ</t>
  </si>
  <si>
    <t>Люки, двери, ворота</t>
  </si>
  <si>
    <t>АР3, лист 13, план тех. пространства</t>
  </si>
  <si>
    <t>Техническое пространство 570 м² с единственным люком</t>
  </si>
  <si>
    <t>Согласно экспликации на листе 13, площадь технического пространства на отметке +53,800 составляет 570,2 м². При этом на плане предусмотрен только один эвакуационный выход через люк размером 800х1200 мм в осях 5-6/Г-Д.
Согласно п. 4.2.12 СП 1.13130.2020, для технического пространства площадью более 300 м² должно быть предусмотрено не менее двух выходов.</t>
  </si>
  <si>
    <t>Необходимо предусмотреть второй (дополнительный) эвакуационный люк в противоположной части технического пространства (рекомендуется в зоне осей 1-2). Люк должен иметь предел огнестойкости не ниже EIS60 и вести на лестничную клетку или в безопасную зону. Привести графическую часть Листа 13 и сводные спецификации в соответствие с требованием п. 4.2.12 СП 1.13130.2020.</t>
  </si>
  <si>
    <t>Прямое нарушение требований пожарной безопасности. Объект не пройдет проверку ГПН (Госпожнадзора) при вводе в эксплуатацию.</t>
  </si>
  <si>
    <t>АР3, лист 11, маркировочный план 14-го этажа</t>
  </si>
  <si>
    <t>Нарушение нормативного уклона эксплуатируемых террас.</t>
  </si>
  <si>
    <t>На маркировочном плане 14-го этажа (Лист 11) для террас квартир (№109, 110, 112, 113) указаны проектные уклоны 0,5% и 1%. Согласно СП 17.13330.2017 «Кровли» (Таблица 4.1, п. 1.2), минимальный допустимый уклон для эксплуатируемых кровель составляет 1,5%. Проектное значение в 0,5% (допустимое только для водосборных ендов согласно п. 4.3) не обеспечит эффективный отвод воды с поверхности, отделанной керамогранитом.</t>
  </si>
  <si>
    <t>Увеличить минимальный уклон всех террас до 1,5%. Скорректировать толщину уклонообразующего слоя (цементно-песчаной стяжки) в спецификации полов на Листе 17 (Тип 11, 11.1) и проверить высотные отметки дверных порогов, чтобы при увеличении уклона не возникло препятствий для открывания дверей.</t>
  </si>
  <si>
    <t xml:space="preserve">- Образование стоячих луж («линз») на террасах.
- Замерзание стоячей воды в швах плитки в зимний период приведет к быстрому отслоению керамогранита от стяжки.
- Постоянное нахождение воды на поверхности увеличивает риск намокания конструкций и протечек в квартиры на 13-м этаже.
</t>
  </si>
  <si>
    <t xml:space="preserve">АР3, лист 7, маркировочный план типового 5-10 этажа, Однокомнатные квартиры (строительные №35, 44, 53, 71, 80).
</t>
  </si>
  <si>
    <t>Системное нарушение минимально допустимой площади жилой комнаты в однокомнатных квартирах.</t>
  </si>
  <si>
    <t>В указанных квартирах площадь единственной жилой комнаты запроектирована 13.4 м². Согласно пункту 5.11 СП 54.13330.2022, площадь общей жилой комнаты в однокомнатной квартире должна составлять не менее 14 м². Дефицит площади составляет 0.6 м².</t>
  </si>
  <si>
    <t>Пересмотреть планировочные решения по всей вертикали данных квартир (5, 6, 7, 8, 9, 10 этажи). Увеличить площадь жилых комнат до нормативных 14.0 м² (например, за счет уменьшения площади прихожей или гардеробной). Скорректировать данные в экспликациях помещений на всех соответствующих листах.</t>
  </si>
  <si>
    <t>Несоответствие проектных решений федеральному законодательству. Юридические риски при обмере объекта кадастровыми инженерами и передаче площадей дольщикам</t>
  </si>
  <si>
    <t>АР3, лист 19, строение 1, план этажа</t>
  </si>
  <si>
    <t>Критическое расхождение площадей помещений между графическим планом и экспликацией (Строение №1).</t>
  </si>
  <si>
    <t xml:space="preserve">Данные в таблице «Экспликация помещений (Строение №1)» полностью не соответствуют чертежу. Вероятно, после существенного изменения планировки центрального блока помещений проектировщики забыли обновить спецификацию.
Фактические расхождения: Пом. №2 (С/У): на плане 4,1 м², в таблице — 3,2 м² (разница 0,9 м²);
Пом. №3 (ПУИ): на плане 7,4 м², в таблице — 4,2 м² (разница 3,2 м²!);
Пом. №4 (С/У унив.): на плане 6,4 м², в таблице — 3,8 м² (разница 2,6 м²).
Из-за этого итоговая площадь строения (65,7 м²) подсчитана неверно.
</t>
  </si>
  <si>
    <t>Необходимо полностью пересчитать и актуализировать таблицу экспликации Строения №1 в строгом соответствии с графикой плана.</t>
  </si>
  <si>
    <t>- Объект с такими расхождениями в РД не пройдет инвентаризацию. Потребуется перевыпуск документации на этапе ввода.
- Неверные площади в таблице приведут к закупке недостаточного количества отделочных материалов (плитки, штукатурки) для этих помещений.
- Искажение общей площади здания влияет на экономические показатели проекта.</t>
  </si>
  <si>
    <t>АР3 , лист 8.2, наименование листа (штамп)</t>
  </si>
  <si>
    <t>Отметка в наименовании листа +32,350 не соответствует отметке на плане +32,550</t>
  </si>
  <si>
    <t xml:space="preserve">Наименование листа содержит отм. +32,350, тогда как на плане отметки чистого пола +32,550. Разница 200 мм — типовая конструкция пола. Примечание на листе: «отметки указаны по уровню чистого пола». Наименование должно содержать отметку чистого пола.
</t>
  </si>
  <si>
    <t>Привести наименование листа в соответствие с отметкой чистого пола (+32,550).</t>
  </si>
  <si>
    <t>Несогласованность отметок в документации.</t>
  </si>
  <si>
    <t>АР4, лист 12, сводная спецификация металла перемычек</t>
  </si>
  <si>
    <t>Ошибка в подсчете массы арматуры усиления.</t>
  </si>
  <si>
    <t>Для жилого дома указана арматура Ø8 общей длиной 14.45 м.п. и массой 20.94 кг.
Технический расчет: По ГОСТ, 1 метр арматуры Ø8 весит 0.395 кг. Таким образом, 14.45 м.п. должны весить ~5.7 кг. В спецификации масса завышена почти в 4 раза.</t>
  </si>
  <si>
    <t>Пересчитать массу арматуры и металла во всех спецификациях с учетом справочных данных ГОСТ 52544-2006 табл 1.</t>
  </si>
  <si>
    <t>Некорректное списание материалов, искусственное завышение сметной стоимости, ошибки при закупке.</t>
  </si>
  <si>
    <t>Грубая системная ошибка в подсчете массы и метража металлопроката (арматуры и уголков).</t>
  </si>
  <si>
    <t>- Полностью пересчитать Сводную спецификацию металла на листе 12.
- В колонке «Длина, м.п.» указать суммарный метраж всех профилей (например, если на 1 метр проема идет 2 уголка, в спецификацию должно идти 2 метра погонных проката).
- Привести массу в соответствие с фактическим метражом, используя веса по ГОСТ (8509-93 для уголков и 52544-2006 для арматуры).</t>
  </si>
  <si>
    <t>Снабжение закупит металл по колонке «Длина» (например, 260 метров уголка 40х5), но по факту для устройства перемычек по проекту (где их нужно по 2 на проем) потребуется 520 метров. На объекте возникнет дефицит материала 50%.</t>
  </si>
  <si>
    <t>АР4, лист 12, сводная спецификация перемычек</t>
  </si>
  <si>
    <t>Критическое расхождение количества перемычек марки В4-13 в сводных спецификациях.</t>
  </si>
  <si>
    <t>В таблице «Сводная спецификация перемычек раздела 133/23-ГК-АР4» (графическая) для перемычки марки В4-13 ошибочно указано итоговое количество — 1 шт. При этом в расположенной рядом таблице «Сводная спецификация элементов перемычек раздела АР4» расход комплектующих деталей (поз. 2, 10, 11, 12) заложен из расчета на 31 штуку (судя по общему количеству деталей: 248 элементов / 8 элементов на 1 сборку = 31 перемычка). Поэтажный подсчет подтверждает, что фактическое количество перемычек В4-13 в здании составляет 31 шт.</t>
  </si>
  <si>
    <t>В таблице «Сводная спецификация перемычек раздела 133/23-ГК-АР4» изменить количество для марки В4-13 с «1» на «31» шт. Дополнительно удостовериться, что в «Сводной спецификации металла перемычек» общий тоннаж проката учтен верно (исходя из 31 шт.).</t>
  </si>
  <si>
    <t>Прямое противоречие в документации. Ошибка приведет к критическому искажению объемов в сметной документации (занижение стоимости по готовым изделиям) и нехватке материалов на строительной площадке при закупке.</t>
  </si>
  <si>
    <t>Рассогласование количества перемычек А4-14 в сводных спецификациях (ошибка при внесении изменений).</t>
  </si>
  <si>
    <t xml:space="preserve"> На Листе 12 присутствует критическое внутреннее противоречие в подсчетах для перемычки марки А4-14:
В таблице «Сводная спецификация перемычек раздела 133/23-ГК-АР4» (графическая) указано итоговое количество 41 шт. (стоит маркер изменения 8.2).В расположенной рядом таблице «Сводная спецификация элементов перемычек раздела АР4» для этой же марки А4-14 указано количество деталей: поз.11 (уголок 40х5) — 92 шт., поз.2 (пластина 50х4) — 92 шт. Поскольку на изготовление одной перемычки А4-14 расходуется по 2 детали каждой позиции, данные элементы рассчитаны на 46 шт. (92 / 2 = 46).</t>
  </si>
  <si>
    <t>Произвести фактический пересчет перемычек А4-14 по всем поэтажным планам. Привести количество изделий в «Сводной спецификации перемычек» и количество деталей в «Сводной спецификации элементов» к единому верному значению. При необходимости скорректировать итоговый тоннаж в таблице «Сводная спецификация металла перемычек».</t>
  </si>
  <si>
    <t>Разница в 5 изделий (около 37 кг стали) ведет к ошибкам в сметных расчетах, путанице при закупке металлопроката и выдаче материалов в производство работ на стройплощадке.</t>
  </si>
  <si>
    <t>Количественное расхождение и ошибка в подсчете общей массы перемычек марки С3-31.</t>
  </si>
  <si>
    <t>Проверить фактическое количество перемычек С3-31 по всем поэтажным кладочным планам. Привести количество в графической спецификации и расход элементов в сводной таблице к единому корректному значению (14 или 15 шт. по результату фактического подсчета). Удостовериться, что итоговый тоннаж в спецификации металла также пересчитан.</t>
  </si>
  <si>
    <t>Некомплектная поставка материалов на объект (нехватка одной готовой перемычки или комплекта деталей для нее). Искажение сметной стоимости и ведомости объемов работ.</t>
  </si>
  <si>
    <t>АР4, Лист 12 Сводные спецификации в сопоставлении с Листом 2 Кладочный план 1-го этажа.</t>
  </si>
  <si>
    <t>Пропуск марок перемычек (А3-14, А3-15) Жилого дома в сводных спецификациях раздела АР4.</t>
  </si>
  <si>
    <t>При формировании сводных данных на Листе 12 допущена потеря позиций:
- На Листе 2 в спецификации перемычек 1-го этажа Жилого дома предусмотрены марки А3-14 (1 шт.) и А3-15 (2 шт.).
- В «Сводной спецификации перемычек» и в «Сводной спецификации элементов перемычек» на Листе 12 эти марки в разделе «Жилой дом» отсутствуют. Они ошибочно учтены только для вспомогательных Строений №1 и №2.</t>
  </si>
  <si>
    <t>- На Листе 12 в графический свод по Жилому дому добавить марки А3-14 и А3-15.
- Включить детали для данных перемычек в таблицу «Сводная спецификация элементов... (Жилой дом)»
- Пересчитать итоговую массу стали в «Сводной спецификации металла перемычек раздела АР4» с учетом восстановленных позиций.</t>
  </si>
  <si>
    <t>Прямое занижение объемов закупки металлопроката (уголок 40х5 L=1400 и L=1500). Искажение сметной стоимости раздела. Остановка работ на объекте из-за отсутствия необходимых конструктивных элементов при возведении перегородок 1-го этажа.</t>
  </si>
  <si>
    <t xml:space="preserve">Внутреннее противоречие данных в сводных таблицах по количеству перемычек марки А3-13*.
</t>
  </si>
  <si>
    <t>На Листе 12 данные в двух сводных таблицах не соответствуют друг другу. В «Сводной спецификации перемычек» (графическая часть) указано количество 1 шт. В то же время в «Сводной спецификацию элементов перемычек» расход комплектующих (поз. 5 и поз. 18) указан в объеме 6 шт на каждую позицию. Учитывая состав одной перемычки (2 уголка и 2 пластины, согласно Листу 2), текущий объем элементов рассчитан на 3 перемычки.</t>
  </si>
  <si>
    <t>В таблице «Сводная спецификация перемычек...» на Листе 12 исправить количество для марки А3-13* с «1» на «3» шт. Убедиться, что суммарный вес в «Сводной спецификации металла перемычек» посчитан исходя из корректного количества (3 шт.).</t>
  </si>
  <si>
    <t>Ошибка в закупке материалов. Если отдел снабжения ориентируется на итоговую цифру «1 шт.», на объект будет поставлено в три раза меньше изделий, чем требуется по проекту. Искажение сметной стоимости.</t>
  </si>
  <si>
    <t>АР4, Листы со 2 по 8 (Ведомости проемов лючков).</t>
  </si>
  <si>
    <t>Дублирование маркировки («Ол») для технологических проемов с разными параметрами.</t>
  </si>
  <si>
    <t>Нарушена уникальность идентификации элементов. Одни и те же марки присвоены отверстиям, имеющим разные габариты и функциональное назначение в зависимости от этажа.
- Ол-4: На Листе 4 (3, 4 эт.) размер 520х2250 (ВК); на Листах 5–8 (5–15 эт.) размер 1200х2160 (ОВ).
- Ол-5: На Листах 2, 3, 5 (1, 2, 5–9 эт.) размер 950х2160 (ВК); на Листе 4 (3, 4 эт.) размер 540х2250 (ПК).
- Ол-8: На Листе 4 (3, 4 эт.) размер 640х2250 (ВК); на Листах 2, 3, 5 (1, 2, 5–9 эт.) размер 350х2160 (ВК).
- Ол-11: На Листах 3, 5–8 (2, 5–15 эт.) размер 1750х2160 (ОВ); на Листе 4 (3, 4 эт.) размер 1900х2160 (ОВ).</t>
  </si>
  <si>
    <t>Провести сквозную унификацию ведомостей проемов во всем разделе АР4. Присвоить каждому уникальному типоразмеру и назначению проема свою марку (например, Ол-1, Ол-2... Ол-20). Актуализировать маркировку на планах и в сводных спецификациях на Листе 12.</t>
  </si>
  <si>
    <t>Некорректный подсчет материалов в сводных спецификациях (Лист 12), закупке люков неверного типоразмера и переделкам (разборке/докладке) готовых стен на строительной площадке из-за несоответствия проектных отверстий заказанному оборудованию.</t>
  </si>
  <si>
    <t>АР4, Листы 3, 4, 5, 5.2, 6, 7, 8, 12 (все листы, содержащие графическую спецификацию перемычки марки В4-14*).</t>
  </si>
  <si>
    <t>Ошибка в нумерации позиций элементов на эскизе перемычки В4-14*.</t>
  </si>
  <si>
    <t>На эскизе перемычки В4-14* (чертеж сечения а-а и вид спереди) выноска к основному горизонтальному элементу (уголок 40х5 L=1500мм) содержит обозначение поз. 13. Однако во всех сопровождающих таблицах «Спецификация элементов перемычек» этот же элемент зарегистрирован под поз. 14. Позиция №13 в данных таблицах для этой марки изделия отсутствует.</t>
  </si>
  <si>
    <t>На эскизах перемычки марки В4-14* на всех листах комплекта АР4 исправить номер позиции с «13» на «14» в соответствии с данными спецификаций элементов.</t>
  </si>
  <si>
    <t>Несоответствие между чертежом и спецификацией. Риск ошибки при комплектации заготовок и сборке изделия на стройплощадке.</t>
  </si>
  <si>
    <t>АР4, листы 2-7, примечания</t>
  </si>
  <si>
    <t>Внутреннее противоречие в общих примечаниях к кладочным планам (определение базы высотных отметок).</t>
  </si>
  <si>
    <t xml:space="preserve"> В блоке «Примечание» на всех указанных листах одновременно присутствуют два взаимоисключающих пункта:
Пункт 2: «Высотные отметки на плане указаны по уровню монолитной плиты».
Пункт 8: «Высотные отметки на плане указаны по уровню верха плиты».</t>
  </si>
  <si>
    <t>Унифицировать терминологию во всех примечаниях к разделу АР4. Оставить одну четкую формулировку (например: «Высотные отметки на плане указаны по уровню верха конструктивной железобетонной плиты»). Удалить дублирующие и противоречащие пункты.</t>
  </si>
  <si>
    <t>Создает риск неверного прочтения чертежа строителями: один исполнитель может принять за базу «чистый» бетон, другой — учесть (или не учесть) возможную выравнивающую стяжку. Это ведет к ошибкам в высотных габаритах дверных проемов и отметок опирания перемычек.</t>
  </si>
  <si>
    <t>Ограждающие конструкции</t>
  </si>
  <si>
    <t>АР5, лист 11.2, узел Д</t>
  </si>
  <si>
    <t>Недостаточный уклон парапетного отлива.</t>
  </si>
  <si>
    <t>В Узле Д для отлива из стеклофибробетона указан уклон 0,5% в сторону кровли. Согласно п. 5.1.23 СП 17.13330.2017, защитные фартуки и парапетные плиты должны иметь уклон не менее 3%.</t>
  </si>
  <si>
    <t>Привести уклон отлива в соответствие с п. 5.1.23 СП 17.13330.2017, увеличив его до 3%.</t>
  </si>
  <si>
    <t>Нарушение требований обязательного свода правил. Образование застойных зон на парапете, скопление грязи, риск разрушения герметичности стыков отлива и намокание нижележащих фасадных конструкций.</t>
  </si>
  <si>
    <t>АР5, лист 12, спецификация элементов заполнения дверных проемов, графичиская схема ДН1.6Л</t>
  </si>
  <si>
    <t>Внутреннее противоречие документации в описании конструкции двери ДН1.6Л.</t>
  </si>
  <si>
    <t>Для дверного блока марки ДН1.6Л на Листе 12 допущено разночтение. В текстовой таблице спецификации (столбец «Примечание») указано, что дверь должна быть «без порога». Однако на этой же странице, на графической схеме заполнения проема, нанесены выноска «Выпадающий порог» и размер 14 мм.</t>
  </si>
  <si>
    <t xml:space="preserve">Привести данные к единообразию. В текстовом примечании спецификации (Лист 12) заменить фразу «без порога» на «с автоматическим выпадающим порогом», либо убрать упоминание и отрисовку порога со схемы, если конструктивно он не предусмотрен. </t>
  </si>
  <si>
    <t>-Снабжение может закупить дверные блоки без системы автоматического порога, что приведет к нарушению требований по дымогазонепроницаемости или звукоизоляции.
- Если на объекте вместо выпадающего (скрытого) порога смонтируют обычный стационарный порог высотой 14 мм, это затруднит движение маломобильных групп населения. Согласно п. 6.2.4 СП 59.13330.2020, пороги должны быть минимизированы, а их высота в 14 мм является предельно допустимой.</t>
  </si>
  <si>
    <t>АР5, лист 11.2, узел А-А</t>
  </si>
  <si>
    <t>Арифметическая ошибка в горизонтальной размерной цепочке стальной пластины.</t>
  </si>
  <si>
    <t>На чертеже разреза А-А, описывающем габариты и отверстия металлической пластины (600х600 мм) для крепления мачты молниеприемника, допущена ошибка в сумме размеров.
Горизонтальная цепочка: 
75+185+75+185+75=595 мм. 
При этом общий габаритный размер пластины указан как 600 мм. Расхождение составляет 5 мм.
Для сравнения: вертикальная цепочка 75+50+175+200+100=600 мм указана корректно.</t>
  </si>
  <si>
    <t>Скорректировать промежуточные размеры в горизонтальной цепочке так, чтобы их сумма равнялась 600 мм. Вероятно, центральный зазор между отверстиями (75 мм) должен быть увеличен до 80 мм, либо крайние отступы (75 мм) должны быть скорректированы.</t>
  </si>
  <si>
    <t>- При передаче чертежа в цех металлоконструкций мастер может изготовить пластину шириной 595 мм вместо 600 мм или допустить смещение центров отверстий относительно осей.
- Несоответствие отверстий на пластине и ответных закладных/анкеров на парапете.</t>
  </si>
  <si>
    <t>АР5, лист 11.1, сечение К7-К7</t>
  </si>
  <si>
    <t>Отсутствие технических характеристик и марки материала для заполнения зазора «воздуховод–стакан».</t>
  </si>
  <si>
    <t xml:space="preserve"> В сечении К7-К7 указано: «Зазор между воздуховодом и стаканом заполнить утеплителем». Проектировщик не указал ни марку, ни плотность, ни группу горючести, ни теплопроводность материала. Данный узел является местом прохода инженерных коммуникаций через кровельное перекрытие.</t>
  </si>
  <si>
    <t>Уточнить текстовое указание в Сечении К7-К7. Прописать конкретный тип материала.</t>
  </si>
  <si>
    <t>- Воздуховод проходит через противопожарную преграду (плиту покрытия). Если подрядчик применит горючий или недостаточно плотный утеплитель, это станет путем распространения огня. Нарушение требований СП 2.13130.2020 и СП 7.13130.2013.
- Невозможность идентифицировать материал при проверке соответствия проекту.</t>
  </si>
  <si>
    <t>АИ1, лист 41-55, 90,  спецификация заполнения дв. проемов</t>
  </si>
  <si>
    <t>Взаимоисключающие конструктивные требования к дверному блоку ДВ20-1Л и некорректное применение показателя «W».</t>
  </si>
  <si>
    <t>В таблицах спецификаций указано: «Отделка стороны 1: ...Многослойное остекление более 60% противопожарное». Класс огнестойкости указан EIWS60.
При этом в блоке эскизов (под чертежом двери ДВ20-1Л на тех же листах) прописано: «Дверь одностворчатая из МДФ, скрытого монтажа...», а на самом эскизе показано глухое полотно.
Согласно ч. 3 ст. 35 ФЗ-123, нормирование по показателю «W» (плотность теплового потока) применяется только для светопрозрачных конструкций (с остеклением более 25%). Глухая дверь из МДФ не может и не должна иметь в сертификате показатель «W». Таким образом, в проекте скрещены требования для полностью стеклянной преграды и глухой деревянной двери.</t>
  </si>
  <si>
    <t>Проектировщику необходимо устранить внутреннее противоречие в документации:
Вариант А: Если по замыслу архитектора дверь остекленная (&gt;60% стекла), необходимо удалить надпись «из МДФ» под эскизом, показать стекло на чертеже фасада двери. Класс EIWS60 в таблице оставить без изменений.
Вариант Б: Если по замыслу дверь глухая под покраску/МДФ, необходимо в таблице спецификации удалить упоминание про «остекление более 60%» и изменить класс огнестойкости с EIWS60 на нормативный EIS60 (или EI60).</t>
  </si>
  <si>
    <t xml:space="preserve">- Срыв тендера и закупок: Завод-изготовитель не сможет изготовить изделие, так как невозможно сделать дверь «глухой из МДФ» и одновременно с «остеклением более 60%».
- Проблемы с надзором: Если подрядчик установит глухую дверь из МДФ, он предоставит на нее сертификат EIS60 (или EI60). Инспектор ГПН, открыв проектную спецификацию, увидит требование EIWS60 и не примет работу, так как сертификат не соответствует букве проекта.- </t>
  </si>
  <si>
    <t>АИ1, лист 43-55, спецификация заполнения дв. проемов</t>
  </si>
  <si>
    <t>Несоответствие конструктивного типа остекления заявленному пределу огнестойкости EI 30 (нарушение требований ГОСТ 30826-2014 и ГОСТ 30247.4-2022).</t>
  </si>
  <si>
    <t>Для противопожарных дверей (марки ДВ7-1Л/П, ДВ19-1Л, ДВ7-2Л/П и др.) установлен предел огнестойкости EI 30 (или EIWS 60). При этом в графе «Полотно» указан материал: «Стекло закаленное противопожарное».Данное решение является невыполнимым по следующим основаниям:
- Согласно ГОСТ 30247.4-2022 (п. 5.2, подпункт «а»), предел огнестойкости по признаку I (теплоизолирующая способность) характеризуется повышением температуры на необогреваемой поверхности в среднем более чем на 140 °C (или на 180 °C в любой точке).
- Согласно ГОСТ 30826-2014 (п. 5.1.2), в составе многослойных огнестойких стекол должны применяться специальные «промежуточные склеивающие слои» (вспенивающиеся при пожаре гели или силикаты). Монолитное (однослойное) закаленное стекло, указанное в проекте, в силу физической природы обладает высокой теплопроводностью и не содержит термоактивных слоев. Оно способно обеспечить только критерии E (целостность) или EW (излучение), но не способно удерживать температуру поверхности в пределах, требуемых пунктом 5.2 ГОСТ 30247.4, в течение 30 минут.
- По классификации изделий: В ГОСТ 30826-2014 (Таблица 17) четко разделены обозначения пределов огнестойкости. Проектное решение пытается объединить материал для класса E (закаленное стекло) с требованием класса EI (многослойное стекло).</t>
  </si>
  <si>
    <t>- Для дверей класса EI 30 заменить в спецификациях «Стекло закаленное противопожарное» на «Стекло противопожарное многослойное с пределом огнестойкости не ниже EI 30 по ГОСТ 30826-2014».
- Ввиду того, что многослойное стекло (толщиной 16-25 мм) значительно тяжелее закаленного (6-8 мм), проектировщику необходимо пересчитать нагрузку на петли и подтвердить возможность их использования в данных дверных блоках.</t>
  </si>
  <si>
    <t>- Заводы-изготовители (согласно п. 5.3.3 ГОСТ 30826-2014) обязаны маркировать продукцию с указанием класса защиты. Ни один производитель не выдаст паспорт качества на монолитное закаленное стекло с маркировкой EI, так как оно не пройдет натурные испытания в печи.
- При проверке соответствия сертификатов на установленные двери проектным требованиям будет выявлено, что фактическая конструкция (стеклопакет или многослойное стекло) отличается от проектной (закаленное монолитное). Это приведет к предписанию о замене всех остекленных дверей (~40-50 конструкций).
- На путях эвакуации остекление, не обладающее теплоизоляцией (критерий I), приведет к тепловому удару и невозможности эвакуации людей при возникновении пожара в смежном помещении.</t>
  </si>
  <si>
    <t>АИ1, лист 96, сводная ведомость потолочных лючков, лист 109, узел 3.</t>
  </si>
  <si>
    <t>Отсутствие характеристик пожарной опасности и пределов огнестойкости потолочных люков в МОП.</t>
  </si>
  <si>
    <t>Для потолочных люков скрытого монтажа марок ЛП-5, ЛП-7, ЛП-21, устанавливаемых в коридорах и лифтовых холлах, в спецификации на Листе 96 не указаны обязательные требования к пожарной безопасности.</t>
  </si>
  <si>
    <t>- В «Сводной ведомости потолочных лючков» (Лист 100) добавить графу «Пожарно-технические характеристики» и указать для всех марок класс не ниже КМ1.
- Для люков в лифтовых холлах и тамбур-шлюзах (зоны ПБЗ) уточнить требования раздела ППМ и, при необходимости, заменить модели на противопожарные с пределом огнестойкости (например, EI 30 или EI 60).</t>
  </si>
  <si>
    <t>Использование стандартных ревизионных люков без подтвержденного класса КМ1/EI приведет к нарушению требований безопасности на путях эвакуации. Это послужит основанием для предписания инспектора ГПН (Госпожнадзора) о замене всех установленных люков на сертифицированные противопожарные аналоги</t>
  </si>
  <si>
    <t>АИ1, лист 38-55, люк ЛК-4/1П</t>
  </si>
  <si>
    <t>Ошибочные размерные цепи на горизонтальном разрезе (узле в плане) люка Лк-4/1П.</t>
  </si>
  <si>
    <t>Выявлена локальная графическая опечатка в деталировке противопожарного люка марки Лк-4/1П.
- На фасадном эскизе ширина строительного проема составляет 300 мм, ширина полотна 180 мм
- На горизонтальном разрезе - ширина проема — 330 мм, ширина полотна — 230 мм.</t>
  </si>
  <si>
    <t>Скорректировать размерные цепи исключительно на горизонтальном разрезе (плане) люка Лк-4/1П на всех листах: размер проема исправить с 330 на 300 мм, размер полотна — с 230 на 180 мм.</t>
  </si>
  <si>
    <t>Противоречивые размеры на горизонтальном разрезе могут ввести в заблуждение строительно-монтажную бригаду при разметке и формировании кладочного проема.</t>
  </si>
  <si>
    <t>АИ1, лист 50, 51, план заполнения проемов 13 этажа, лист 51, спецификация люков доступа 13 этаж</t>
  </si>
  <si>
    <t>Несоответствие плана и спецификации люков доступа (пропуск позиции Лк-3/2Л).</t>
  </si>
  <si>
    <t>На плане 13-го этажа (Лист 50) в зоне коридора (оси 7/Д-Г) обозначен противопожарный люк с маркой Лк-3/2Л. Однако в соответствующей «Спецификации лючков доступа МОП 13 этаж» на Листе 51 данная марка отсутствует. При этом на аналогичных планах других этажей (например, 7-й и 10-й этажи) данный люк присутствует и в графической части, и в спецификациях.</t>
  </si>
  <si>
    <t xml:space="preserve"> Дополнить «Спецификацию лючков доступа МОП 13 этаж» на Листе 51 позицией Лк-3/2Л, указав характеристики, аналогичные другим этажам</t>
  </si>
  <si>
    <t>Риск исключения изделия из ведомости закупок.</t>
  </si>
  <si>
    <t>АИ1, лист 93, сводная спецификация мат-лов полов наземной части</t>
  </si>
  <si>
    <t>Критическое занижение итоговых объемов материалов в сводной спецификации (игнорирование этажности здания).</t>
  </si>
  <si>
    <t>Необходимо полностью пересчитать все Сводные спецификации в проекте (полы, стены, потолки, профили, двери, электрику и т.д.), корректно умножив объемы материалов на фактическое количество этажей в блоках типовой застройки. Перевыпустить листы сводных ведомостей.</t>
  </si>
  <si>
    <t>Закупка плинтуса ПЛ2 почти в 2 раза меньше требуемого (нехватка более 400 погонных метров), а ПЛ1 — с нехваткой более 100 метров. Это приведет к остановке отделочных работ на объекте, срыву сроков сдачи и экстренным дозакупкам материалов, которые могут отличаться по партии и тону PVD-покрытия.</t>
  </si>
  <si>
    <t>АИ1, лист 89, схема стыковки покрытий на ступенях лестницы</t>
  </si>
  <si>
    <t>Нарушение требований безопасности и доступности МГН: отсутствие противоскользящих элементов и скруглений на ступенях.</t>
  </si>
  <si>
    <t>На детальных чертежах узлов (Лист 89) показано сопряжение керамогранита проступи и подступенка под прямым углом («встык») без использования защитных профилей или обработки кромки. Это является прямым нарушением следующих норм:
- СП 54.13330.2022, п. 6.4.1 (стр. 30 PDF): Устанавливает, что здание должно быть запроектировано так, чтобы «предупредить риск получения травм жильцами при передвижении», а также обеспечить требования доступности согласно СП 59.13330.
- СП 59.13330.2020, п. 5.1.12 (введен в действие через п. 6.4.1 СП 54): Гласит, что «края ступеней должны быть скруглены», а также на проступи каждой ступени вдоль передней кромки «следует предусматривать полосу из контрастного цвета... имеющую антискользящие свойства». На чертеже Листа 89 данные элементы отсутствуют, показан острый угол.</t>
  </si>
  <si>
    <t>- Скорректировать узлы на Листе 89: предусмотреть установку на кромках ступеней противоскользящих профилей (алюминиевых или полимерных) с резиновой вставкой.
- Либо предусмотреть нанесение контрастных абразивных полос и скругление (снятие фаски) края керамогранита.
- В спецификации лестничной отделки (Листы 24–32) добавить требование к коэффициенту трения покрытия согласно разд. 7ГОСТ Р 55908.</t>
  </si>
  <si>
    <t>- Травматизм: Повышенный риск соскальзывания ноги с кромки ступени (особенно при намокании). Острый край плитки при сколах (неизбежных в процессе эксплуатации) становится режущим фактором.
- Юридические риски: Объект не соответствует требованиям по доступности для МГН. При несчастном случае на лестнице ответственность ляжет на проектировщика и заказчика из-за несоблюдения п. 6.4.1 СП 54.</t>
  </si>
  <si>
    <t>АИ1, лист 105, узел 3 "Устройство усиления под инсталляцию в санузле"</t>
  </si>
  <si>
    <t>Отсутствие антикоррозийной защиты стальных несущих элементов во влажной зоне.</t>
  </si>
  <si>
    <t xml:space="preserve">В узле 3 для обеспечения жесткости установки сантехнического оборудования в санузлах предусмотрено использование металлического каркаса из горячекатаного проката: трубы 50х50х3 мм и уголка 75х75х5 мм (ГОСТ 8509-93). На чертеже и в общих указаниях к листу полностью отсутствует информация о защитном покрытии этих элементов. </t>
  </si>
  <si>
    <t>В примечаниях к узлу 3 на Листе 105 указать обязательное требование к защите: «Металлические элементы усиления очистить от ржавчины и покрыть антикоррозийным грунтом (например, ГФ-021) в два слоя с последующей окраской эмалью типа ПФ-115 или аналогом». Как альтернатива — применить оцинкованный металлопрокат.</t>
  </si>
  <si>
    <t>Образование коррозии на поверхности стали в замкнутом пространстве перегородки. В долгосрочной перспективе это приведет к разрушению сварных или болтовых соединений каркаса, потере устойчивости инсталляции, растрескиванию плиточной облицовки стен и риску обрушения санфаянса. Также возможно проявление следов ржавчины через межплиточные швы из-за высокой влажности за конструкцией.</t>
  </si>
  <si>
    <t>АИ1, лист 87, 88</t>
  </si>
  <si>
    <t>Технические расхождения между спецификациями отделки лифтовых кабин и чертежами конструктивных узлов.</t>
  </si>
  <si>
    <t xml:space="preserve">- Цветовое решение: В спецификации на л. 87 для профиля ПС1 указан цвет SNJS-2496, в то время как на деталировочном Узле 1 (л. 88) указан код SNJS-22100.
- В спецификации на л. 87 высота поручня ПО указана 150 мм. Однако на чертеже Узла 5 (л. 88) общая высота вертикального элемента поручня составляет 100 мм. </t>
  </si>
  <si>
    <t>Привести все данные на листах 87 и 88 (и далее по сводным спецификациям) к единым значениям. Унифицировать цветовые коды и габаритные размеры поручней.</t>
  </si>
  <si>
    <t>Поставка материалов неверного оттенка (цветовой код), несоответствие закладных деталей фактическим габаритам поручней, риск закупки стали ненадлежащей марки.</t>
  </si>
  <si>
    <t>АИ1, лист 102, МИ-4, лист 104, МИ-6</t>
  </si>
  <si>
    <t>Отсутствие конструктивных решений по креплению высокой мебели к стенам/перекрытиям (нарушение требований безопасности).</t>
  </si>
  <si>
    <t>В проекте представлены изделия индивидуального изготовления: МИ-4 (высота 2500 мм, глубина 600 мм) и МИ-6 (высота 3500 мм, глубина 330 мм). Для данных изделий не предусмотрены узлы или указания по антиопрокидывающему креплению к несущим конструкциям здания. Согласно ГОСТ 16371-2014 (п. 5.2.31, Таблица 4), изделия высотой более 2000 мм должны выдерживать значительные нагрузки на устойчивость. Для шкафа МИ-6 соотношение высоты к глубине составляет более 10:1, что делает невозможным соблюдение норм устойчивости без принудительной фиксации к стене или потолку.</t>
  </si>
  <si>
    <t>- Внести изменения в чертежи изделий МИ-4 (лист 102) и МИ-6 (лист 104), добавив требования по обязательному жесткому креплению каркасов к стенам или перекрытиям.
- Разработать типовой узел крепления высокой мебели с указанием используемой фурнитуры, обеспечивающей устойчивость согласно Таблице 4 ГОСТ 16371-2014.</t>
  </si>
  <si>
    <t>Внезапное опрокидывание мебели при эксплуатации (открывание дверей, нагрузка на верхние полки, динамическое воздействие). Это влечет за собой риск получения тяжелых травм персоналом и посетителями, порчу имущества и дорогостоящей отделки стен.</t>
  </si>
  <si>
    <t>АИ3, Лист 0.1, общие данные
Лист 6, План отделки потолков,
Лист 10.01, вид 3</t>
  </si>
  <si>
    <t>Внутреннее противоречие проектной документации: расхождение высотных отметок потолка тренажерного зала.</t>
  </si>
  <si>
    <t>В текстовой части на листе 0.1 указано, что высота помещений в зоне фитнес-зала составляет 3400/3300 мм от УЧП. Однако на графических листах — Плане отделки потолков и на развертках стен — зафиксированы проектные отметки низа потолка +3.420 и +3.670. Разница между заявленными и графическими данными достигает 270 мм.</t>
  </si>
  <si>
    <t>На основании проверки привести документацию к единым значениям: либо скорректировать текст в «Общих данных» (указать отметки 3420/3670), либо опустить потолки на графических планах и развертках до заявленных 3400/3300 мм.</t>
  </si>
  <si>
    <t>- Пространственные коллизии при монтаже: если смежные разделы (ОВ, ЭОМ, АПТ) проектировали свои трассы исходя из отметки потолка +3.300, то поднять потолок до +3.670 по факту будет физически невозможно из-за габаритов воздуховодов и лотков.
- Юридические споры с подрядчиком при сдаче-приемке работ из-за несоответствия выполненных объемов текстовому описанию ПЗ.</t>
  </si>
  <si>
    <t>АИ3, лист 6, План отделки потолков</t>
  </si>
  <si>
    <t>Отсутствие требований к классу пожарной опасности (КМ) для шпонированных потолков П6 и П13.</t>
  </si>
  <si>
    <t>В спецификации потолков для типов П6 (площадь 23.34 м²) и П13 (площадь 14.04 м²) указан материал: «Подвесной каркасный потолок из панелей, отделанных шпоном». При этом в описании не задан требуемый класс пожарной опасности (КМ) для данных изделий, в отличие от потолков П1 и П4, где класс указан. Павильон №1 является общественным зданием</t>
  </si>
  <si>
    <t>- Отказ со стороны надзорных органов (ГПН) в выдаче Заключения о соответствии (ЗОС) при вводе объекта в эксплуатацию из-за нарушения ФЗ-123.
- Предписание на полный демонтаж смонтированных потолков за счет виновной стороны.
- Угроза быстрого распространения пламени и выделения высокотоксичных продуктов горения при пожаре.</t>
  </si>
  <si>
    <t xml:space="preserve">АИ3, Лист 4 План отделки стен, Спецификация отделки стен </t>
  </si>
  <si>
    <t>Отсутствие характеристик пожарной опасности зеркального полотна из триплекса (марка О-14) на путях эвакуации.</t>
  </si>
  <si>
    <t>Зеркальные панели из триплекса (стекло с полимерной пленкой) применяются для сплошной облицовки стен в помещении №1 (Лобби), которое является путем эвакуации. 
согласно ФЗ-123, Таблица 28, для данного типа здания требуются Г1, В1, Д2, Т2.
В нарушение Статьи 134 ФЗ-123 данные требования в проектной документации не зафиксированы.</t>
  </si>
  <si>
    <t xml:space="preserve">Дополнить спецификацию на листе 4 для позиции О-14 обязательными характеристиками пожарной опасности: Г1, В1, Д2, Т2.
</t>
  </si>
  <si>
    <t xml:space="preserve">Нарушение требований пожарной безопасности на путях эвакуации.
Отказ Государственного пожарного надзора в выдаче ЗОС (Заключения о соответствии) при вводе объекта в эксплуатацию ввиду несоответствия отделки требованиям Таблицы 28 ФЗ-123.
Предписание на полный демонтаж отделки стен Лобби (43.12 м²) на этапе приемки.
</t>
  </si>
  <si>
    <t>АИ3, лист 0.1, лист 1,  План перегородок, пом. 2, лист 3, Спецификация дверей, Д9, лист 2, спец. сантехники</t>
  </si>
  <si>
    <t>Нарушение требований доступности маломобильных групп населения (МГН) в общественном здании Павильона №1.</t>
  </si>
  <si>
    <t>Павильон №1 является зданием общественного назначения (Фитнес). В нарушение требований ФЗ-384 «Технический регламент о безопасности зданий и сооружений» и СП 59.13330.2020, проект не обеспечивает беспрепятственный доступ и пользование санитарно-бытовыми помещениями для МГН:
 - Ширина дверного полотна в санузел (марка Д9) составляет 800 мм, что меньше минимально допустимых 900 мм (п. 6.2.4 СП 59.13330.2020).
- Габариты санузла (пом. 2, площадь 3,53 м²) не позволяют обеспечить разворотное пространство для кресла-коляски диаметром 1,4 м (п. 6.2.1) и минимальные размеры универсальной кабины 1,65 x 2,2 м (Таблица 6.1).
- В спецификации оборудования на листе 6 не предусмотрены обязательные стационарные и откидные опорные поручни (п. 6.3.3).
- Нарушение направления открывания двери санузла, препятствующее доступу МГН. По проекту дверь открывается во внутрь, что противоречит п. 6.3.3.
Ссылка в ПЗ на отсутствие квартир для МГН не является обоснованием для отказа от доступности общественных зон и отдельно стоящих строений комплекса.</t>
  </si>
  <si>
    <t>- Изменить планировочное решение Павильона №1, предусмотрев минимум одну универсальную кабину санузла с габаритами не менее 1,65 x 2,2 м.
- Заменить дверь в санузел на модель с шириной полотна 900 мм (марка Д10) и изменить направление открывания.
- Дополнить спецификацию сантехнического оборудования (Лист 6) опорными поручнями для инвалидов (L-образными и откидными).
- Уточнить текстовую часть в «Общих данных» (Лист 3), указав, что общественные павильоны запроектированы с учетом требований СП 59.13330.2020.</t>
  </si>
  <si>
    <t xml:space="preserve">- Грубое нарушение ст. 15 Федерального закона № 181-ФЗ «О социальной защите инвалидов в РФ».
- Невозможность получения Заключения о соответствии (ЗОС) и ввода объекта в эксплуатацию.
- Административные штрафы и судебные иски со стороны надзорных органов.
- Необходимость дорогостоящей перепланировки и демонтажа возведенных перегородок на этапе отделки.
</t>
  </si>
  <si>
    <t xml:space="preserve">АИ3, лист 5, План отделки полов, 
лист 11.01, узел НП11.2,
лист 12.03, узел 7
</t>
  </si>
  <si>
    <t>Отсутствие нормативных требований к противоскользящим свойствам покрытия ступеней эвакуационной лестницы.</t>
  </si>
  <si>
    <t>Для облицовки ступеней лестницы (тип пола НП11.2), являющейся эвакуационным выходом из подземной автостоянки на улицу, применен керамогранит Atlas Concorde Boost Icor Dust Matte Sensitech. В спецификациях к узлам и на плане полов не указаны минимально допустимые показатели сопротивления скольжению.</t>
  </si>
  <si>
    <t>- Дополнить спецификацию типа пола НП11.2 (листы 11.01, 12.03) требованием: «Керамогранит с противоскользящей поверхностью, группа сопротивления скольжению не ниже R10 (или коэффициент трения сухого/мокрого покрытия не менее 0,35)».
- Устранить разночтение в наименовании артикула между Листом 5 («Bone Matte») и Листом 12.03 («Dust Matte»).</t>
  </si>
  <si>
    <t>- Риск травматизма и падения людей при эвакуации, особенно при попадании влаги или реагентов с улицы/паркинга.
- Претензии со стороны органов ГПН (пожарного надзора) при проверке путей эвакуации на соответствие требованиям по предотвращению скольжения (СП 1.13130.2020).</t>
  </si>
  <si>
    <t>АИ3, лист 5, спецификация полов
лист 2, спецификация оборудования
лист 12.03, узел 4</t>
  </si>
  <si>
    <t xml:space="preserve">Несоответствие типа покрытия НП12 требованиям СП 29.13330.2011 по интенсивности механических воздействий.
</t>
  </si>
  <si>
    <t>Для Тренажерного зала (пом. 6) выбрано покрытие НП12 толщиной 2.2 мм. Согласно спецификации на Листе 6, в помещении предусмотрено размещение набора гантелей (марка Т-5). Эксплуатация данного оборудования предполагает риск возникновения воздействий, классифицируемых Таблицей 1 СП 29.13330.2011 как «Удары при падении твердых предметов массой более 2 кг с высоты 1 м».
Примененное эластичное покрытие толщиной 2.2 мм предназначено для «слабой» интенсивности механических воздействий. В нарушение п. 4.11 СП 29.13330.2011, проект не подтверждает соблюдение предельно допустимого прогиба покрытия (не более 2 мм) при сосредоточенных нагрузках от ножек стационарного оборудования (марки Т-1, Т-3), вес которого превышает эксплуатационные возможности бытовых серий LVT-плитки.</t>
  </si>
  <si>
    <t>- Заменить тип покрытия НП12 на материал, соответствующий категории «умеренных» или «значительных» ударных воздействий согласно Таблице 1 СП 29.13330.2011 (например, специализированное каучуковое или гомогенное ПВХ-покрытие повышенной плотности толщиной от 4 мм).
- В зоне свободных весов (у стойки Т-5) предусмотреть устройство защитного настила, рассчитанного на ударную нагрузку от падения гантелей массой до 20 кг.</t>
  </si>
  <si>
    <t xml:space="preserve">-Повреждение (пробитие) финишного покрытия при падении снарядов из набора Т-5 (нарушение требований к ударной стойкости по Таблице 1).
- Превышение допустимого прогиба (п. 4.11) и деформация материала в местах установки опор тренажеров, что приведет к разрыву плитки и отслоению от стяжки.
</t>
  </si>
  <si>
    <t>АИ3, лист 3, спецификация душевых перегородок
лист 2, спецификация сантех. оборудования,
лист 12.03, узел 5</t>
  </si>
  <si>
    <t>Коллизия спецификаций: указан неверный тип монтажа душевых перегородок (ДС1) при отсутствии фабричных душевых поддонов.</t>
  </si>
  <si>
    <t>В «Спецификации душевых перегородок» (Лист 3) для позиции ДС1 (ширина 900 мм, производитель Radaway) указан тип монтажа «на поддон». Однако в спецификации сантехнического оборудования (Лист 2) фабричные душевые поддоны отсутствуют. Вместо них заложены душевые лотки под плитку (поз. СП-10). Согласно Узлу 5 (Лист 12.03), душевая зона реализуется в строительном исполнении (керамогранит с уклоном 1° к лотку).
Указание типа монтажа «на поддон» для фабрики-изготовителя означает изготовление стекла с «минусовым» допуском (фактический габарит кабины будет меньше заявленных 900 мм для центрирования на бортике поддона).</t>
  </si>
  <si>
    <t>- В «Спецификации душевых перегородок» (Лист 3) для позиции ДС1 изменить параметр «тип монтажа» на «монтаж непосредственно на пол / на плитку».
- Внести в рабочую документацию примечание: «Точные размеры стеклянных душевых полотен ДС1 передавать в производство строго после завершения плиточных работ, формирования уклонов и фактического замера габаритов душевой зоны».</t>
  </si>
  <si>
    <t>- Поставка на объект стеклянных перегородок, габариты которых не совпадают с фактическими размерами душевой зоны, выложенной из плитки (стекло окажется меньше).
- Смещение линии установки профилей и петель с ровного горизонтального пола на наклонную плоскость (уклон к лотку), что приведет к перекосу петель и заклиниванию дверцы при открывании.
- Невозможность герметизации примыканий, протечки в чистую зону раздевалки.
- Финансовые убытки на перезаказ закаленного стекла, так как подгонка (подрезка) готового закаленного полотна на объекте физически невозможна.</t>
  </si>
  <si>
    <t>АИ3, лист 12.02, узел 7</t>
  </si>
  <si>
    <t>Техническая неполнота узла наружного стыка керамогранита: отсутствие решения по заполнению и защите шва.</t>
  </si>
  <si>
    <t xml:space="preserve">Доработать Узел 7 на Листе 12.02: графически показать технологический шов (1.5–2 мм) на вершине угла и выноской указать обязательное заполнение данного стыка специализированной двухкомпонентной (эпоксидной) затиркой или полиуретановым герметиком в цвет плитки.
</t>
  </si>
  <si>
    <t>- Механические сколы истонченных (запиленных) краев керамогранита при малейшем физическом контакте или температурном расширении.
- Травмоопасность для посетителей фитнес-центра (образование острых сколотых краев).
- Разгерметизация мокрой зоны: проникновение влаги в клеевой слой и стеновую конструкцию, что приведет к отслоению крупноформатного керамогранита.</t>
  </si>
  <si>
    <t>АИ3, лист 12.01, узел 4</t>
  </si>
  <si>
    <t>Отсутствие решений по антикоррозионной защите (АКЗ) скрытых несущих стальных элементов в помещении с влажным режимом.</t>
  </si>
  <si>
    <t>В конструктивном Узле 4 «Узел устройства усиления под инсталляцию в санузле» предусмотрен монтаж несущей рамы из углеродистой стали (труба профильная 50х50х3 мм, уголок 75х75х5 мм). Данный каркас зашивается листовым материалом и эксплуатируется в скрытом пространстве санузла (пом. 2), где высок риск образования конденсата на трубах холодного водоснабжения и скрытых протечек. В нарушение требований СП 28.13330.2017 «Защита строительных конструкций от коррозии» (раздел 5), в чертежах узла и спецификациях отсутствуют указания по защите данных элементов от коррозии. Требование Общих указаний (Лист 0.1) об обработке грунтовкой относится только к «открытым металлическим элементам».</t>
  </si>
  <si>
    <t>- Внести прямое указание на Лист 12.01 (Узел 4) о необходимости антикоррозионной защиты всех элементов рамы: очистка от окалины и ржавчины, обезжиривание, грунтование (например, грунт ГФ-021 в 2 слоя) и покрытие антикоррозионной эмалью, либо применение составов холодного цинкования.
- В узле прямо указать требование к применению крепежа (анкер-шпильки, болты М10) исключительно в оцинкованном исполнении.</t>
  </si>
  <si>
    <t xml:space="preserve">- Активная коррозия скрытого металлокаркаса под воздействием конденсатной влаги в невентилируемом коробе.
- Ослабление сварных и болтовых соединений несущей рамы, что приведет к появлению люфта консольной сантехники (подвесного унитаза) при циклических нагрузках.
</t>
  </si>
  <si>
    <t>АИ3, лист 11.01, план лестницы
АР3, лист 19, размерые линии ЛК</t>
  </si>
  <si>
    <t>Критическое заужение эвакуационного пути: ширина лестничного марша «в свету» не соответствует нормам пожарной безопасности и доступности МГН.</t>
  </si>
  <si>
    <t>- Предоставить расчет путей эвакуации, подтверждающий или опровергающий допустимость прохода 1000 мм для данного конкретного выхода (при наличии утвержденных СТУ — предоставить СТУ). 
- Рекомендуемое решение: крепление стоек ограждения в торец бетонного марша (а не сверху на проступь) и скрытый монтаж пристенных поручней в штробы (ниши) для обеспечения нормативного габарита «в свету».</t>
  </si>
  <si>
    <t>- Прямое нарушение Федерального закона № 123-ФЗ «Технический регламент о требованиях пожарной безопасности» и № 384-ФЗ.</t>
  </si>
  <si>
    <t>АИ3, лист 11.02, МИ-17
лист 11.05, МИ-13</t>
  </si>
  <si>
    <t>Отсутствие требований по безопасной фиксации (антиопрокидыванию) крупногабаритных конструкций в заданиях на мебель.</t>
  </si>
  <si>
    <t xml:space="preserve">На чертежах заданий для производителей индивидуальной мебели представлены крупногабаритные изделия: шпонированная панель МИ-17 высотой 3580 мм и шкаф МИ-13 высотой 3200 мм. При таких массогабаритных характеристиках и малой глубине (у МИ-13 глубина 450 мм) изделия обладают высоким центром тяжести. В текстовых примечаниях к данным листам, которые являются техническим заданием для мебельной фабрики, отсутствует прямое указание на обязательность разработки узлов жесткой фиксации (антиопрокидывания) к капитальным стенам или перекрытиям.
Также на листах монтажа перегородок не специфицированы закладные детали в зонах установки данных крупногабаритных изделий.
</t>
  </si>
  <si>
    <t>Внести в примечания на листах 11.02 и 11.05 обязательное техническое требование: «Производителю мебели в составе конструкторской документации (КМД) в обязательном порядке разработать и согласовать с Архитектором скрытые антиопрокидывающие узлы крепления изделий к несущим стенам / перекрытиям».</t>
  </si>
  <si>
    <t>- Опрокидывание 3-метрового шкафа или панели при случайном физическом воздействии посетителей фитнес-центра (опирание, толчок), что ведет к тяжелому травматизму.
- Невозможность надежного крепления мебели по месту, если за ней окажется пустотелая каркасно-обшивная перегородка без заранее смонтированных закладных деталей.</t>
  </si>
  <si>
    <t>АИ3, лист 3, спец душевых перегородок, ДС1</t>
  </si>
  <si>
    <t>Внутреннее противоречие проектных данных в части типа заполнения душевой перегородки ДС1.</t>
  </si>
  <si>
    <t>Устранить разночтение на Листе 3. Привести текстовое описание в таблице спецификации в соответствие с эскизом и функциональным назначением: указать единый тип заполнения — «Стекло закаленное матовое (сатинированное) 8 мм».</t>
  </si>
  <si>
    <t xml:space="preserve">- Ошибка при формировании заказа отделом снабжения и поставка на объект прозрачных полотен вместо матовых.
- Срыв сроков монтажа из-за необходимости перезаказа или дополнительной обработки (матирования) стекол на объекте.
- Нарушение требований комфорта и приватности пользователей фитнес-центра.
</t>
  </si>
  <si>
    <t>АИ3, лист 3, Спецификация лючков, Л12 и Л18</t>
  </si>
  <si>
    <t>Внутренняя рассогласованность маркировки сантехнических лючков.,</t>
  </si>
  <si>
    <t>На Листе 3 выявлено несоответствие между табличной спецификацией и графическими эскизами изделий. В блоке эскизов крайний правый чертеж ошибочно промаркирован как Л12 (габариты 300х400 мм). При этом в основной таблице «Спецификация лючков» и на «Плане заполнения дверных проемов» лючок с такими габаритами имеет марку Л18, а марка Л12 в проекте не предусмотрена.</t>
  </si>
  <si>
    <t>Привести маркировку на Листе 3 к единому виду. Исправить заголовок на эскизе с «Л12» на «Л18» в соответствии с данными таблицы спецификации и планом расположения лючков.</t>
  </si>
  <si>
    <t xml:space="preserve">- Риск ошибочного формирования заявок на поставку (поиск в каталогах или спецификациях несуществующей позиции Л12).
- Неоднозначность при идентификации изделий отделом закупок и комплектации.
</t>
  </si>
  <si>
    <t>АИ3, лист 11.01, детализация состава пола НП11</t>
  </si>
  <si>
    <t>Внутреннее противоречие данных по толщине стяжки в узле НП11.</t>
  </si>
  <si>
    <t>На листе 11.01 в текстовом перечне слоев конструкции пола НП11 (пункт 3) указана толщина цементно-песчаной стяжки 49 мм. При этом на графической части узла размерная цепочка указывает значение 46 мм, а общий габарит конструкции зафиксирован как 100 мм (что соответствует сумме слоев при стяжке 46 мм). Данное значение (46 мм) также подтверждается спецификацией на Листе 5 и узлом на Листе 12.03.</t>
  </si>
  <si>
    <t>- Привести текстовое описание состава пола НП11 на листе 11.01 в соответствие с графической частью и данными смежных листов, заменив значение толщины стяжки с «49 мм» на «46 мм».</t>
  </si>
  <si>
    <t xml:space="preserve">- Ошибки при заказе объема строительных материалов (сухих смесей).
- Риск нарушения проектной отметки чистого пола на 3 мм, что приведет к образованию порогов в местах стыковки с другими типами покрытий.
</t>
  </si>
  <si>
    <t>АИ3, лист 12.02, узел 2, 4</t>
  </si>
  <si>
    <t>Отсутствие технических требований к клеевому составу для монтажа зеркал (О-14).</t>
  </si>
  <si>
    <t>В конструктивных узлах 2 и 4 на листе 12.02 предусмотрен монтаж зеркального полотна на клеевой слой, обозначенный как «Клей / жидкие гвозди». Данная формулировка является неопределенной и допускает применение составов на кислотной (уксусной) основе. Согласно технологии монтажа зеркал и требованиям ГОСТ 17716-2014, для исключения повреждения отражающего слоя (амальгамы) необходимо использовать исключительно нейтральные составы.</t>
  </si>
  <si>
    <t>Дополнить примечания на листе 12.02 (или спецификацию на листе 4) жестким требованием: «Для монтажа зеркал О-14 применять специализированный нейтральный клей или герметик для зеркал, не содержащий кислот и растворителей, разрушающих амальгаму."</t>
  </si>
  <si>
    <t>- Разрушение амальгамы зеркала в местах нанесения клея (появление черных или бурых пятен, «цветение» краев) в течение первых 3–6 месяцев эксплуатации.
- Риск отслоения и падения зеркальных полотен (особенно крупноформатных) из-за разрушения защитного лакового слоя зеркала агрессивным клеем.</t>
  </si>
  <si>
    <t>АИ3, лист 12.02, узлы 1-4, 
лист 4, спецификация настенных профилей</t>
  </si>
  <si>
    <t>Внутренняя рассогласованность маркировки декоративных профилей (ПС1 / ПС10).</t>
  </si>
  <si>
    <t>В комплекте рабочей документации допущена ошибка в обозначении разделительно-декоративного профиля 10х10 мм. В «Спецификации настенных профилей» (Лист 4) и в заголовках узлов 1-4 (Лист 12.02) изделие имеет марку ПС1. Однако на самих чертежах узлов в текстовых выносках этот же элемент промаркирован как ПС10.</t>
  </si>
  <si>
    <t>Унифицировать маркировку профиля во всем комплекте АИ. На Листе 12.02 в текстовых выносках к Узлам 1, 2, 3 и 4 заменить обозначение «ПС10» на корректную марку «ПС1» в соответствии со спецификацией.</t>
  </si>
  <si>
    <t xml:space="preserve">- Путаница при формировании заявок на закупку материалов (поиск в спецификациях несуществующей марки ПС10).
- Формальные замечания со стороны службы строительного контроля при верификации фактически смонтированных изделий проектным маркам.
</t>
  </si>
  <si>
    <t>Отделка и мебель</t>
  </si>
  <si>
    <t>АИ4, лист 1, план монтажа перегородок
лист 2, план расстановки мебели</t>
  </si>
  <si>
    <t>Несоответствие габаритов универсального санузла нормативным требованиям доступности для МГН</t>
  </si>
  <si>
    <t>В спецификации помещений Павильона №2 заявлено помещение №3 «Санузел (С/у универсальный)» площадью 2,06 м². Данное помещение является единственным санитарным узлом в здании общественного назначения.
Согласно СП 59.13330.2020 (п. 6.3.2), в каждом доступном для МГН здании должна быть как минимум одна универсальная кабина уборной. Согласно п. 6.3.3 и Таблице 6.1 указанного СП, минимальные габариты универсальной кабины с боковым расположением унитаза составляют 1,7 х 2,2 м (минимальная площадь в чистоте — 3,74 м²), при этом в кабине должно быть обеспечено свободное пространство диаметром 1,4 м для разворота кресла-коляски.
Фактическая площадь 2,06 м² и стесненная конфигурация помещения (с учетом выступающего инженерного короба) физически исключают возможность нормативного размещения оборудования, обеспечения бокового подъезда к унитазу и маневрирования инвалида-колясочника. Кроме того, на планах расстановки оборудования отсутствуют обязательные опорные поручни и система вызова помощи.</t>
  </si>
  <si>
    <t xml:space="preserve">- Увеличить габариты помещения №3 за счет смежных зон для достижения минимальных внутренних размеров 1,7 х 2,2 м в чистоте (после отделки).
- Обеспечить внутри санузла свободную зону разворота кресла-коляски диаметром 1,4 м.
- Дополнить спецификации и планы расстановки оборудования нормативными опорными поручнями (стационарными и откидными) рядом с унитазом и раковиной (п. 6.3.3 СП 59.13330.2020).
- Предусмотреть установку системы вызова помощи (п. 6.3.6, 6.5.8 СП 59.13330.2020) с соответствующей корректировкой раздела СС.
</t>
  </si>
  <si>
    <t>Прямое нарушение ст. 12 Федерального закона № 384-ФЗ «Технический регламент о безопасности зданий и сооружений» и обязательных требований СП 59.13330.2020. Отрицательное заключение экспертизы, невозможность ввода объекта в эксплуатацию, риск предписаний и штрафов со стороны надзорных органов.</t>
  </si>
  <si>
    <t>АИ4, лист 3, план заполнения дверных проемов, Д23,
лист 10, вид 10</t>
  </si>
  <si>
    <t>Несоответствие ширины дверного проема универсального санузла требованиям доступности для МГН.</t>
  </si>
  <si>
    <t xml:space="preserve"> В проекте для помещения №3 «Санузел (С/у универсальный)» предусмотрена установка дверного блока марки Д23. Согласно спецификации и детальному эскизу на листе 3, ширина дверного полотна составляет 800 мм, ширина строительного проема — 950 мм, а фактическая ширина проема «в свету» (световой проем) составляет 775 мм.
Согласно требованиям п. 6.1.5 СП 59.13330.2020, дверные проемы, доступные для инвалидов на креслах-колясках во вновь проектируемых и реконструируемых зданиях, должны иметь ширину в свету не менее 0,9 м (900 мм). Запроектированный проем физически не позволяет инвалиду-колясочнику попасть в помещение универсального санузла.</t>
  </si>
  <si>
    <t xml:space="preserve">- Увеличить ширину строительного проема для двери Д23 до 1050–1100 мм (в зависимости от габаритов выбранной скрытой коробки).
- Заменить дверной блок Д23 на изделие с шириной полотна не менее 950–1000 мм для гарантированного обеспечения ширины проема «в свету» строго не менее 900 мм при открытой на 90 градусов двери.
- Внести соответствующие корректировки в смежные чертежи: План монтажа перегородок (Лист 1), План отделки стен (Лист 4) и Развертки (Лист 14, вид 10).
</t>
  </si>
  <si>
    <t>Прямое нарушение ст. 12 Федерального закона № 384-ФЗ «Технический регламент о безопасности зданий и сооружений» и обязательных требований СП 59.13330.2020. Отрицательное заключение экспертизы. Невозможность ввода объекта в эксплуатацию.</t>
  </si>
  <si>
    <t>АИ4, лист 11.04, МИ-28</t>
  </si>
  <si>
    <t>Техническая невозможность реализации и травмоопасность конструкции маятниковой двери в перегородке МИ-28.</t>
  </si>
  <si>
    <t xml:space="preserve">В задании на изготовление трансформируемой перегородки МИ-28 (Лист 11.04) для секции прохода указан тип открывания «Маятниковая дверь» в сочетании с фурнитурой «Без ручки, магнитный толкатель». Данное решение содержит критические ошибки:
- Механизмы открывания нажатием (магнитные толкатели/Tip-on) требуют наличия жесткого упора (притвора) дверной коробки для взвода пружины. Маятниковая фурнитура обеспечивает прохождение дверного полотна сквозь нулевую отметку в обе стороны, что делает установку и работу нажимного толкателя физически невозможной.
- Глухое (непрозрачное) полотно маятниковой двери, открывающееся в обе стороны в зоне активного движения посетителей (в том числе рядом с детской комнатой), создает высокий риск лобовых столкновений и травм.
</t>
  </si>
  <si>
    <t>Вариант 1 (сохранение маятникового открывания): Исключить магнитный толкатель и предусмотреть в полотне двери вертикальную вставку из ударопрочного стекла для обеспечения визуального контроля встречного движения.
Вариант 2 (сохранение глухого фасада без ручек): Изменить тип открывания с «маятникового» на стандартное одностороннее распашное (с упором в коробку). Установить магнитный толкатель. При этом убедиться, что открывание двери не перекрывает пути эвакуации и нормативные проходы.</t>
  </si>
  <si>
    <t>Отказ фабрики-изготовителя брать изделие в работу из-за технически несовместимой фурнитуры. В случае реализации (если маятник заменят на обычные петли ради толкателя) — нарушение норм пожарной и эксплуатационной безопасности (СП 59.13330), невозможность использования двери маломобильными посетителями, риск травматизма детей.</t>
  </si>
  <si>
    <t>АИ4, лист 2, спецификация мебели, поз. МИ35
лист 11.08, МИ35</t>
  </si>
  <si>
    <t>Критическое расхождение габаритных размеров индивидуального изделия МИ-35 в спецификации и на эскизном чертеже.</t>
  </si>
  <si>
    <t>В «Спецификации мебели индивидуального изготовления» на листе 2 для позиции МИ-35 (Зеркало подвесное с фоновой подсветкой) указаны габаритные размеры 700х1800 мм. Однако на листе 11.08 в детальном задании на изготовление данного зеркала приведены совершенно иные габариты: ширина 640 мм, высота 1500 мм. Размеры противоречат друг другу по обоим векторам.</t>
  </si>
  <si>
    <t>- Проверить фактические габариты посадочного места для зеркала МИ-35 по разверткам стен санузла (Лист 10, виды 12 и 13) с учетом привязок раковины (М-22) и выводов электрики под подсветку.
- Определить и утвердить единственно верные габариты изделия.
- Устранить противоречие, приведя к единообразию размеры МИ-35 в спецификации на Листе 2 и на деталировочном чертеже на Листе 11.08.</t>
  </si>
  <si>
    <t>Выдача в производство некорректного технического задания. Изготовление бракованного изделия, которое может не вписаться в отведенное посадочное место на стене (согласно разверткам санузла на листе 10) или не совпасть с осями сантехнического оборудования. Прямые финансовые убытки на переделку заказной позиции, срыв сроков чистовой отделки и комплектации.</t>
  </si>
  <si>
    <t>АИ4, лист 2, спецификация мебели, поз. МИ-36,
лист 10.08, МИ-36</t>
  </si>
  <si>
    <t>Критическое расхождение высотных габаритов встроенного шкафа МИ-36 в спецификации и на деталировочных чертежах.</t>
  </si>
  <si>
    <t>В «Спецификации мебели индивидуального изготовления» (Лист 2) для позиции МИ-36 (Встроенный шкаф, 2 шт.) указаны габариты 150х465х3500 мм. Однако на деталировочном чертеже изделия (Лист 11.08) высота жестко задана как 2800 мм (при ширине 465 мм и глубине 150 мм).
Анализ разверток стен санузла (Лист 10, вид 11) подтверждает, что максимальная высота ниши под установку данного шкафа составляет 2800 мм (от отметки чистого пола 0.000 до отметки +2.800). Кроме того, в спецификации применен нестандартный и запутывающий порядок записи габаритов (Глубина х Ширина х Высота).</t>
  </si>
  <si>
    <t>- Скорректировать габариты изделия МИ-36 в спецификации на Листе 2, указав фактическую проектную высоту — 2800 мм.
- Привести формат записи габаритов в спецификации к общепринятому мебельному стандарту (Ширина х Глубина х Высота), записав итоговый размер как 465х150х2800 мм, для исключения двоякого толкования подрядчиками.</t>
  </si>
  <si>
    <t>Передача в производство спецификации с ошибочной высотой (3500 мм) приведет к изготовлению двух шкафов, которые физически невозможно установить в санузел. Это повлечет прямые финансовые убытки на полную переделку корпусов и фасадов изделий, а также срыв сроков сдачи чистовой отделки. Нестандартный формат записи габаритов создает дополнительный риск брака на производстве.</t>
  </si>
  <si>
    <t>АИ4, лист 2, спецификация мебели, лист 11.05, МИ30</t>
  </si>
  <si>
    <t>Критическое расхождение габаритов и формы индивидуального изделия МИ-31 (гимнастический мат) в спецификации и на деталировочном чертеже.</t>
  </si>
  <si>
    <t>В «Спецификации мебели индивидуального изготовления» на листе 2 для позиции МИ-31 указаны габариты 2000х1000х100 мм (прямоугольная форма). Однако на деталировочном чертеже (Лист 11.05) габариты этого же изделия составляют 1600х1500 мм, а один из внешних углов имеет скругление с радиусом R500.
Анализ чертежа на листе 11.05 показывает, что мат имеет петли для крепления по прямой стороне (примыкание к плоской стене под скалодромом), а скругление R500 выполнено на свободном углу, выступающем в помещение, для обеспечения травмобезопасности. Данные в спецификации (прямоугольник 2000х1000) являются ошибочными, скопированными из другого источника и не соответствуют объемно-планировочным решениям зоны скалодрома.</t>
  </si>
  <si>
    <t xml:space="preserve">- Скорректировать описание позиции МИ-31 в спецификации на Листе 2: указать фактические проектные габариты (1600х1500х100 мм) и добавить примечание о сложной форме изделия (скругление внешнего угла R500).
</t>
  </si>
  <si>
    <t>Передача в производство спецификации с ошибочными данными приведет к изготовлению прямоугольного мата 2000х1000 мм. Данное изделие не обеспечит проектную зону безопасности (глубина 1000 мм вместо требуемых 1500 мм) и создаст травмоопасный прямой угол на путях движения детей в игровой комнате. Прямые финансовые убытки на переделку заказной позиции.</t>
  </si>
  <si>
    <t>АИ4, лист 2, таблица спецификаций мебели, поз М-7.1</t>
  </si>
  <si>
    <t>Техническая ошибка (опечатка) в габаритных размерах дивана М-7.1.</t>
  </si>
  <si>
    <t>В спецификации покупной мебели для позиции М-7.1 (Диван LOVE, производитель Kinnarps) указаны габаритные размеры 2500х150х720 мм. Указанная глубина изделия 150 мм является физически невозможной для данного типа мебели и не соответствует фактическим габаритам модели LOVE от Kinnarps, а также графическому отображению дивана на «Плане расстановки мебели» (Лист 2), где его глубина визуально составляет около 850 мм. Вероятно, при наборе текста была допущена опечатка (пропущена цифра или неверно перенесены данные из каталога).</t>
  </si>
  <si>
    <t>Проектировщику необходимо сверить данные с техническим паспортом изделия производителя Kinnarps и скорректировать габариты в спецификации на Листе 2 (ориентировочно на 2500х850х720 мм, уточнить по каталогу).</t>
  </si>
  <si>
    <t>Ошибка в официальной спецификации приведет к некорректному оформлению заказа отделом закупок. Возможен отказ производителя в приемке заявки или поставка несоответствующего изделия (если под этим артикулом ошибочно закажут иной элемент, например, узкую пристенную панель), что повлечет срыв сроков комплектации объекта и финансовые потери.</t>
  </si>
  <si>
    <t>Раздел АИ4, Лист 2, спецификация мебели, лист 11.01, МИ-25.</t>
  </si>
  <si>
    <t>Противоречие в габаритных размерах (глубина) встроенного шкафа МИ-25.</t>
  </si>
  <si>
    <t xml:space="preserve">В комплекте документации выявлено несоответствие параметров глубины изделия МИ-25:
- В «Спецификации мебели индивидуального изготовления» (Лист 2) глубина указана 600 мм.
- В «Задании на мебель МИ-25» (Лист 11.01, виды сбоку и сверху) указана глубина корпуса 700 мм и общий габарит 720 мм.
Расхождение составляет 120 мм. Детальный чертеж (производственный документ) противоречит планировочному решению и ведомости закупок.
</t>
  </si>
  <si>
    <t>Проектировщику необходимо привести габариты МИ-25 к единому значению во всех листах раздела АИ. В случае приоритета глубины 720 мм — переработать план расстановки мебели с проверкой нормативных проходов. В случае приоритета планировочного решения — скорректировать детальные чертежи на Листе 11.01 до глубины 600 мм.</t>
  </si>
  <si>
    <t>- При закупке/заказе по Спецификации (600 мм) будет изготовлено изделие, не соответствующее детальному конструктиву (720 мм).
- При изготовлении по детальному чертежу (720 мм) фактическая ширина прохода в Помещении 2 между шкафом МИ-25 и столом МИ-27 уменьшится со строящихся 1000 мм до 880 мм. Это приведет к неудобству эксплуатации, невозможности свободного размещения стульев М-21 и потенциальному нарушению требований по обеспечению беспрепятственных путей движения.</t>
  </si>
  <si>
    <t>Раздел АИ4. Лист 2, спецификация мебели, лист 11.02, МИ-26</t>
  </si>
  <si>
    <t>Несоответствие глубины кухонного гарнитура МИ-26 в спецификации и на деталировочных чертежах.</t>
  </si>
  <si>
    <t xml:space="preserve">В комплекте документации выявлено критическое расхождение параметров глубины нижних модулей кухни МИ-26:
- В «Спецификации мебели индивидуального изготовления» (Лист 2) указана глубина 600 мм.
- В «Задании на мебель МИ-26» (Лист 11.02, виды сбоку и сверху) указана фактическая глубина 670 мм (650 мм — корпус, 20 мм — фасад).
Расхождение составляет 70 мм. Спецификация, являющаяся финансовым документом для закупки, противоречит производственному чертежу.
</t>
  </si>
  <si>
    <t>- Проектировщику необходимо скорректировать габариты МИ-26 в Спецификации на Листе 2, установив проектную глубину 670 мм (согласно детальному чертежу 11.02).
- Проверить фактическую ширину прохода между краем столешницы (670 мм от стены) и столом МИ-27. В случае заужения прохода менее 1100–1200 мм — скорректировать положение обеденной группы на «Плане расстановки мебели» (Лист 2).</t>
  </si>
  <si>
    <t xml:space="preserve">- Закупка столешницы и встроенного оборудования (мойка МИ-26, техника) по спецификации (600 мм) приведет к невозможности их монтажа на реальный корпус глубиной 670 мм. Потребуется полная переделка дорогостоящего изделия.
- Увеличение глубины кухни на 70 мм при сохранении текущей расстановки мебели на Плане (Лист 2) приведет к сужению чистого прохода в зоне Помещения 2 (Комната взрослых) между кухней и обеденным столом МИ-27. Это затруднит эксплуатацию зоны и использование стульев М-21.
</t>
  </si>
  <si>
    <t>Раздел АИ4, лист 5 План напольных покрытий, лист 12.03, узел 4, лист 3, спецификация дверей.</t>
  </si>
  <si>
    <t>Недостаточность мер по предотвращению перелива воды из санузла в смежные жилые помещения.</t>
  </si>
  <si>
    <t>Согласно Листу 5 и Узлу 4 (Лист 12.03), стык полов санузла (НП19.1) и жилых зон (НП12) выполнен на единой отметке +0.000. В дверном блоке Д23 (Лист 3) предусмотрен «выпадающий порог».
Указываем на то, что выпадающий (автоматический) порог является средством звуко- и теплоизоляции и не может служить герметичным барьером для воды при аварийных ситуациях или штатной эксплуатации санузла без трапа. Конструкция выпадающего порога имеет технологические зазоры в местах примыкания к дверной коробке, через которые вода беспрепятственно пойдет в Детскую и Комнату взрослых.</t>
  </si>
  <si>
    <t>- Несмотря на наличие выпадающего порога в двери, предусмотреть в составе пола конструктивный порог-порожек (например, из латуни или нержавеющей стали) высотой 10-14 мм.
- Внести соответствующие изменения в Узел 4 на Листе 12.03.</t>
  </si>
  <si>
    <t>При любой протечке или случайном разливе воды в санузле произойдет мгновенное намокание и порча напольного покрытия НП12 (кварц-винил) в жилых зонах, а также деформация дверных коробок скрытого монтажа. Учитывая отсутствие трапа, ущерб от залива будет максимальным.</t>
  </si>
  <si>
    <t>АР, лист 9, 10, спецификация, разрез 1-1, 2-2, а-а</t>
  </si>
  <si>
    <t>Расхождение длины стойки перголы: L=2708 на чертежах vs L=2698 в спецификациях</t>
  </si>
  <si>
    <t>На разрезах листа 9 длина стойки указана как «Стойка тр. 102х4 L=2708», а в спецификации того же листа — «Труба 102x4 L=2698». Аналогичное расхождение повторяется на листе 10: разрез показывает L=2708, спецификация — L=2698. Разница 10 мм может быть обусловлена допуском на монтаж, но требует однозначного пояснения.</t>
  </si>
  <si>
    <t>Привести длину стойки к единому значению в спецификации и на чертежах разрезов листов 9 и 10. Если разница 10 мм обоснована (допуск, подливка), добавить примечание.</t>
  </si>
  <si>
    <t>Неоднозначность при изготовлении стоек: заказ по спецификации (L=2698) или по чертежу (L=2708).</t>
  </si>
  <si>
    <t>Вид работы</t>
  </si>
  <si>
    <t>1. Проблема</t>
  </si>
  <si>
    <t>1.1 Обоснование</t>
  </si>
  <si>
    <t>2. Оптимизация</t>
  </si>
  <si>
    <t>Нарушение габаритов эвакуационных выходов (СП 1.13130.2020): В сводной спецификации дверей (стр. 22) маркаДВ25-1ПИмеется аналог блока 950 мм (проем 950 мм). С учетом толщины коробки и вылета полотна при открытии на 90°, ширина «в свет» получается менее 850 мм. Для зданий высотой более 50 м и при числе эвакуирующихся более 50 чел. на этаже минимальная ширина выходной мощности на лестничных клетках должна бытьне менее 1200 мм. Проектные решения по дверям лестничных клеток (ДВ25, ДВ20) требуют пересмотра.</t>
  </si>
  <si>
    <t>Факт: Дверной блок с монтажным размером (или размером полотна) 950 мм физически не может обеспечить эвакуационный выход шириной 1200 мм. Для зданий с массовым пребыванием людей или высокой этажностью нормативы ужесточаются. Согласно СП 1.13130.2020, ширина эвакуационного выхода должна быть не менее 1,2 м, если количество эвакуирующихся через этот выход составляет более 50 человек (для классов Ф1.1, Ф1.2, Ф2, Ф3, Ф4). Что делать? Заменить марки дверей ДВ25 и ДВ20 на двупольные или полуторные блоки (например, с шириной полотен 900+300 мм или более), обеспечивающие проем в свету не менее 1200 мм. Минимальный строительный проем для такой двери обычно составляет 1300–1400 мм.</t>
  </si>
  <si>
    <r>
      <rPr>
        <b/>
        <sz val="11"/>
        <color rgb="FF000000"/>
        <rFont val="Calibri, sans-serif"/>
      </rPr>
      <t>Ворота В-2 (Лист 22):</t>
    </r>
    <r>
      <rPr>
        <sz val="11"/>
        <color rgb="FF000000"/>
        <rFont val="Calibri, sans-serif"/>
      </rPr>
      <t xml:space="preserve"> Проем высотой 4.7 м. Указана только «металлоконструкция». Отсутствует задание смежникам на электропривод, датчики безопасности и систему обогрева направляющих (для исключения примерзания). — Риск: Огромные неучтенные затраты на автоматизацию в конце стройки.</t>
    </r>
  </si>
  <si>
    <t>Класс дымогазонепроницаемости (Лист 22): Для дверей в лифтовые холлы и тамбур-шлюзы (марки ДВТ-2Л/П) указан предел EWS60. Согласно ФЗ-123, для противопожарных преград тамбур-шлюзов обязателен показатель дымогазонепроницаемости S (EIS60). Литера W (излучение) не заменяет S. — Риск: Дым в ПБЗ и лифтовых шахтах при пожаре.</t>
  </si>
  <si>
    <t>Обоснование: Маркировка EWS60 расшифровывается как сохранение целостности (E), ограничение теплового потока/излучения (W) и дымогазонепроницаемость (S) в ней отсутствует. Для тамбур-шлюзов (особенно с подпором воздуха) и лифтовых холлов ключевой функцией является блокировка продуктов горения. Литера «W» применяется для светопрозрачных конструкций и характеризует передачу тепла излучением, но никак не герметичность от дыма. Использование такой двери обнуляет эффективность системы приточно-вытяжной противодымной вентиляции. Нормативная база: Согласно статье 88 (ч. 3) и Таблице 24 Федерального закона № 123-ФЗ, двери тамбур-шлюзов 1-го типа должны иметь предел огнестойкости не ниже EI 60. При этом, если тамбур-шлюз является частью системы защиты от дыма (защищает шахты лифтов или ПБЗ), двери должны быть дымогазонепроницаемыми, что подтверждается литерой «S» (ГОСТ Р 53303).</t>
  </si>
  <si>
    <r>
      <rPr>
        <b/>
        <sz val="11"/>
        <color rgb="FF000000"/>
        <rFont val="Calibri, sans-serif"/>
      </rPr>
      <t>Унификация вентиляционных решеток (Лист 22):</t>
    </r>
    <r>
      <rPr>
        <sz val="11"/>
        <color rgb="FF000000"/>
        <rFont val="Calibri, sans-serif"/>
      </rPr>
      <t xml:space="preserve"> В спецификации 14 типов решеток (РВ-С). Различия в габаритах составляют 50–100 мм.
 Предложение: Унифицировать решетки до 4-5 типоразмеров. Разницу в габаритах компенсировать за счет изменения размеров адаптеров (коробов) систем ОВ. Экономия на оптовом заказе изделий</t>
    </r>
  </si>
  <si>
    <r>
      <rPr>
        <b/>
        <sz val="11"/>
        <color rgb="FF000000"/>
        <rFont val="Calibri, sans-serif"/>
      </rPr>
      <t>Тип ревизионных люков в технических помещениях</t>
    </r>
    <r>
      <rPr>
        <sz val="11"/>
        <color rgb="FF000000"/>
        <rFont val="Calibri, sans-serif"/>
      </rPr>
      <t xml:space="preserve">
Текущее решение: Люки скрытого монтажа «Хаммер Техно» под отделку (напр. ЛК-5/1, ЛК-13, ЛК-16, ЛК-21Л) в помещениях ИТП, венткамерах, электрощитовых (АР1, л. 10; АР3, л. 8).
Предложение по оптимизации: Замена на стандартные накладные или вставные металлические люки с порошковой покраской в цвет стен.
Обоснование (Выгода): Люки скрытого монтажа под плитку/камень требуют дорогостоящей работы по облицовке и сложной фурнитуры. В чисто технических помещениях (ИТП, насосные) эстетика скрытого монтажа не оправдана. Снижение стоимости материалов в 3–4 раза.
Техническая безопасность: Для зон с требованиями по огнестойкости (напр. вентшахты) использовать противопожарные металлические люки EI60 стандартного исполнения.</t>
    </r>
  </si>
  <si>
    <t>Отсутствие фурнитуры «Антипаника»: В спецификации для всех эвакуационных дверей указан «цилиндрический замок». По нормам для зданий такого класса на дверях лестничных клеток обязательны ручки «Антипаника» (паник-бары). — Риск: Штрафы и предписание на замену фурнитуры.</t>
  </si>
  <si>
    <r>
      <rPr>
        <sz val="11"/>
        <color rgb="FF000000"/>
        <rFont val="Calibri, sans-serif"/>
      </rPr>
      <t xml:space="preserve">Обоснование: Использование цилиндрического замка на путях эвакуации недопустимо, так как он подразумевает использование ключа или вращение «вертушки» (завертки), что требует времени и мелкой моторики. В условиях паники и задымления это смертельно опасно. Двери эвакуационных выходов из поэтажных коридоров, холлов, фойе, вестибюлей и лестничных клеток должны открываться изнутри без ключа. </t>
    </r>
    <r>
      <rPr>
        <b/>
        <sz val="11"/>
        <color rgb="FF000000"/>
        <rFont val="Calibri, sans-serif"/>
      </rPr>
      <t>СП 1.13130.2020 прямо требует открытия без ключа;</t>
    </r>
    <r>
      <rPr>
        <sz val="11"/>
        <color rgb="FF000000"/>
        <rFont val="Calibri, sans-serif"/>
      </rPr>
      <t xml:space="preserve">
</t>
    </r>
    <r>
      <rPr>
        <b/>
        <sz val="11"/>
        <color rgb="FF000000"/>
        <rFont val="Calibri, sans-serif"/>
      </rPr>
      <t>ГОСТ 31471 определяет устройство «Антипаника» как обязательный элемент дверей эвакуационных выходов;</t>
    </r>
    <r>
      <rPr>
        <sz val="11"/>
        <color rgb="FF000000"/>
        <rFont val="Calibri, sans-serif"/>
      </rPr>
      <t xml:space="preserve">
 …отсутствие паник-фурнитуры на таких дверях будет восприниматься как нарушение, особенно при проверке пожарной безопасности.</t>
    </r>
  </si>
  <si>
    <r>
      <rPr>
        <b/>
        <sz val="11"/>
        <color rgb="FF000000"/>
        <rFont val="Calibri, sans-serif"/>
      </rPr>
      <t>Двери индивидуального изготовления (ДН23Л, ДН29Л):</t>
    </r>
    <r>
      <rPr>
        <sz val="11"/>
        <color rgb="FF000000"/>
        <rFont val="Calibri, sans-serif"/>
      </rPr>
      <t xml:space="preserve"> Описаны ламели из алюминиевых трубок.
 Предложение: Использовать серийные противопожарные двери с накладными декоративными панелями из алюминия. Это позволит использовать стандартный сертификат огнестойкости и избежать дорогостоящих натурных испытаний.</t>
    </r>
  </si>
  <si>
    <t>Коллизия «Дверь-Пол» на террасах (Листы 20, 22, 23): Толщина пирога пола террас (Тип 11.1) составляет 220–280 мм. При этом для наружных дверей (ДН15) заложен «выпадающий порог 14 мм». В монолите под дверью отсутствует бетонный бортик (порог). — Риск: Талая вода и осадки с террасы зальют жилые комнаты. Установка рамы двери «в стяжку» приведет к гниению коробки и протечкам.</t>
  </si>
  <si>
    <t>Без возвышенного «бортика» под дверным порогом вода будет проникать внутрь:
Дождевая вода или талая вода не будет иметь препятствия и будет перемещаться через дно порога внутрь квартиры.
Даже небольшие перепады (например 14 мм порог) неэффективны без гидроизоляционного уплотнения и уклона; вода может пересекать такой порог без значительного сопротивления.
Дверная рама, встроенная «в стяжку», даст щели/микрокапиллярные пути для воды, к тому же деревянная или ПВХ коробка быстрее подвержена гниению или коррозии.</t>
  </si>
  <si>
    <r>
      <rPr>
        <b/>
        <sz val="11"/>
        <color rgb="FF000000"/>
        <rFont val="Calibri, sans-serif"/>
      </rPr>
      <t>Входные двери в квартиры (Жилая часть)</t>
    </r>
    <r>
      <rPr>
        <sz val="11"/>
        <color rgb="FF000000"/>
        <rFont val="Calibri, sans-serif"/>
      </rPr>
      <t xml:space="preserve">
Текущее решение: Марки ДВ14-1Л/П (48 и 50 шт. соотв.). Высота дверного блока — 2430 мм. Индивидуальное изготовление (АР3, л. 16; АР4, л. 12).
Предложение по оптимизации: Снижение высоты проема до 2100 мм (стандартная высота блока 2050–2080 мм).
Обоснование (Выгода): Переход с индивидуального заказа на серийные модели «складской программы» ведущих производителей. Снижение стоимости одного блока на 15–25%. Упрощение логистики и возможности быстрой замены при повреждении в ходе отделочных работ.
Техническая безопасность: Соответствует СП 1.13130.2020 (высота эвакуационного выхода в свету должна быть не менее 2.0 м).</t>
    </r>
  </si>
  <si>
    <t>Промерзание наружных блоков (Лист 22): Марка ДН15 (стальная дверь на террасу) — не указано требование о наличии терморазрыва. — Риск: Обледенение полотна изнутри, конденсат, порча отделки квартир бизнес-класса</t>
  </si>
  <si>
    <r>
      <rPr>
        <b/>
        <sz val="11"/>
        <color rgb="FF000000"/>
        <rFont val="Calibri, sans-serif"/>
      </rPr>
      <t>Замена остекленных противопожарных дверей на глухие (МОП и техзоны)</t>
    </r>
    <r>
      <rPr>
        <sz val="11"/>
        <color rgb="FF000000"/>
        <rFont val="Calibri, sans-serif"/>
      </rPr>
      <t xml:space="preserve">
Текущее решение: ДПСО (остекленные) марок ДВ3Л-1, ДВ4Л-1, ДВ7-2Л-1, ДВ8Л-1 (АР1, л. 10) и ДВТ-2Л/П (АР3, л. 16). Класс огнестойкости EIW60 / EIWS60.
Предложение по оптимизации: Замена на глухие противопожарные двери (ДПС) с небольшим смотровым окном (до 25% площади полотна).
Обоснование (Выгода): Противопожарное остекление большой площади (EIW/EIWS) значительно дороже глухого полотна. В зонах выхода из технических коридоров в лестничные клетки или тамбур-шлюзы панорамное остекление избыточно. Экономия до 40% на единицу изделия.
Техническая безопасность: Сохранение требуемого предела огнестойкости (60 мин) и дымогазонепроницаемости.</t>
    </r>
  </si>
  <si>
    <r>
      <rPr>
        <b/>
        <sz val="11"/>
        <color rgb="FF000000"/>
        <rFont val="Calibri, sans-serif"/>
      </rPr>
      <t>Исключение «спеченного» стекла в выходах на террасы</t>
    </r>
    <r>
      <rPr>
        <sz val="11"/>
        <color rgb="FF000000"/>
        <rFont val="Calibri, sans-serif"/>
      </rPr>
      <t xml:space="preserve">
Текущее решение: ДН33Л/П, ДН34Л — «Дверь спеченная индивидуального изготовления из безопасного стекла СМ4 в составе ограждения» (АР3, л. 16, л. 21).
Предложение по оптимизации: Замена на стандартные распашные двери в алюминиевом теплом профиле (аналог оконных систем здания) с заполнением закаленным стеклом или триплексом.
Обоснование (Выгода): Индивидуальное изготовление безрамочных «спеченных» дверей — это эксклюзивная позиция с высокой стоимостью и рисками по срокам поставки. Стандартный алюминиевый профиль обеспечит лучшую герметичность (прижим) и долговечность при эксплуатации на открытых террасах.
Техническая безопасность: Соответствует требованиям безопасности для светопрозрачных конструкций.</t>
    </r>
  </si>
  <si>
    <t>Выход на кровлю (Лист 19): Люк 800х1200 мм. — Риск: Через такой проем невозможно поднять или заменить двигатели крышных вентиляторов или элементы систем ОВ без демонтажа конструкций кровли.</t>
  </si>
  <si>
    <t>Проём 800×1200 мм — недостаточен для подъёма/замены крупных крышных агрегатов без демонтажа конструкций кровли.
Нормативно это не запрещено напрямую, но противоречит общим требованиям к инженерному доступу и обслуживанию, предъявляемым к проектам.
Риск обоснован как инженерно-практический и должен быть учтён проектировщиком. здании высотой более 50 метров (15 этажей) установлены системы противодымной защиты (ДУ и ПД).
Типовой радиальный вентилятор дымоудаления (например, серии ВРАН или ВКТ) для высотного здания имеет диаметр рабочего колеса 630–800 мм.
Габарит корпуса такого вентилятора в сборе с рамой и виброизоляторами обычно составляет от 1100х1100 мм до 1400х1400 мм.
Вес электродвигателя для таких систем может составлять от 80 до 150 кг.</t>
  </si>
  <si>
    <r>
      <rPr>
        <b/>
        <sz val="11"/>
        <color rgb="FF000000"/>
        <rFont val="Calibri, sans-serif"/>
      </rPr>
      <t>Усиление дверных проемов («Заплечики»)</t>
    </r>
    <r>
      <rPr>
        <sz val="11"/>
        <color rgb="FF000000"/>
        <rFont val="Calibri, sans-serif"/>
      </rPr>
      <t xml:space="preserve">
Текущее решение: Узел крепления заплечика кладки к ж/б стене через скобы С2 с шагом каждые 2 ряда (АР2, л. 6; АР4, л. 11).
Предложение по оптимизации: Замена гнутых скоб С2 индивидуального изготовления на стандартные оцинкованные гибкие связи или перфоленту.
Обоснование (Выгода): Изготовление и монтаж специфических скоб С2 (как показано на узлах) требует гибки металла и сварки/анкеровки в двух точках. Гибкие связи из нержавеющей или оцинкованной стали — это копеечное серийное изделие, монтируемое одним дюбелем.
Техническая безопасность: Жесткость примыкания кладки к монолиту сохраняется согласно СП 15.13330.</t>
    </r>
  </si>
  <si>
    <t>Ворота В-2 (Лист 22): Проем высотой 4.7 м. Указана только «металлоконструкция». Отсутствует задание смежникам на электропривод, датчики безопасности и систему обогрева направляющих (для исключения примерзания). — Риск: Огромные неучтенные затраты на автоматизацию в конце стройки.</t>
  </si>
  <si>
    <t>Кладка, закладные детали, светопрозрачные стены</t>
  </si>
  <si>
    <r>
      <rPr>
        <b/>
        <sz val="11"/>
        <color rgb="FF000000"/>
        <rFont val="Calibri, sans-serif"/>
      </rPr>
      <t>1. Отсутствие "Цоколя" (подушки) в мокрых зонах</t>
    </r>
    <r>
      <rPr>
        <sz val="11"/>
        <color rgb="FF000000"/>
        <rFont val="Calibri, sans-serif"/>
      </rPr>
      <t xml:space="preserve">
</t>
    </r>
    <r>
      <rPr>
        <b/>
        <sz val="11"/>
        <color rgb="FF000000"/>
        <rFont val="Calibri, sans-serif"/>
      </rPr>
      <t xml:space="preserve"> Где:</t>
    </r>
    <r>
      <rPr>
        <sz val="11"/>
        <color rgb="FF000000"/>
        <rFont val="Calibri, sans-serif"/>
      </rPr>
      <t xml:space="preserve"> Спецификации материалов стен на всех этажах (листы 2, 6, 7, 8, 9, 12).
</t>
    </r>
    <r>
      <rPr>
        <b/>
        <sz val="11"/>
        <color rgb="FF000000"/>
        <rFont val="Calibri, sans-serif"/>
      </rPr>
      <t xml:space="preserve"> Описание</t>
    </r>
    <r>
      <rPr>
        <sz val="11"/>
        <color rgb="FF000000"/>
        <rFont val="Calibri, sans-serif"/>
      </rPr>
      <t xml:space="preserve">: В сводной ведомости материалов (Лист 17, таблица «Жилой дом») объем полнотелого кирпича (ГОСТ 530-2012) отсутствует или ничтожно мал (в явном виде присутствует только в ведомости техпространства Лист 9 — 0,10 м3 и Лист 2 — 0,14 м3). Основной материал перегородок — газобетон (ГСБ) D600/D500.
</t>
    </r>
    <r>
      <rPr>
        <b/>
        <sz val="11"/>
        <color rgb="FF000000"/>
        <rFont val="Calibri, sans-serif"/>
      </rPr>
      <t xml:space="preserve"> Проблема: </t>
    </r>
    <r>
      <rPr>
        <sz val="11"/>
        <color rgb="FF000000"/>
        <rFont val="Calibri, sans-serif"/>
      </rPr>
      <t xml:space="preserve">Согласно СП 15.13330 (п. 9.1-9.2), применение ячеистых бетонов в помещениях с мокрым режимом не рекомендуется без специальной защиты. В практике строительства стандартом является выполнение первого ряда (цоколя) высотой 150-300 мм из полнотелого керамического кирпича или бетона для защиты ГСБ от влаги с перекрытия (протечки, мытье полов).
</t>
    </r>
    <r>
      <rPr>
        <b/>
        <sz val="11"/>
        <color rgb="FF000000"/>
        <rFont val="Calibri, sans-serif"/>
      </rPr>
      <t xml:space="preserve"> Последствие</t>
    </r>
    <r>
      <rPr>
        <sz val="11"/>
        <color rgb="FF000000"/>
        <rFont val="Calibri, sans-serif"/>
      </rPr>
      <t>: Риск намокания низа перегородок, появление грибка/плесени, разрушение нижнего ряда блоков. Потенциальные претензии от жильцов.</t>
    </r>
  </si>
  <si>
    <r>
      <rPr>
        <b/>
        <sz val="11"/>
        <color rgb="FF000000"/>
        <rFont val="Calibri, sans-serif"/>
      </rPr>
      <t>Физика газобетона:</t>
    </r>
    <r>
      <rPr>
        <sz val="11"/>
        <color rgb="FF000000"/>
        <rFont val="Calibri, sans-serif"/>
      </rPr>
      <t xml:space="preserve"> Газобетон обладает высокой капиллярной активностью. Намокнув снизу, он тянет воду вверх.
Вывод: Опирая газобетон на плиту в мокрой зоне, вы создаете узел, надежность которого зависит исключительно от идеального качества нанесения гидроизоляции. Малейшая ошибка строителей приведет к нарушению пункта </t>
    </r>
    <r>
      <rPr>
        <b/>
        <sz val="11"/>
        <color rgb="FF000000"/>
        <rFont val="Calibri, sans-serif"/>
      </rPr>
      <t>СТО НААГ 3.1.-2013 п.п. 6.1.2</t>
    </r>
    <r>
      <rPr>
        <sz val="11"/>
        <color rgb="FF000000"/>
        <rFont val="Calibri, sans-serif"/>
      </rPr>
      <t xml:space="preserve"> (защита от увлажнения не будет обеспечена). </t>
    </r>
    <r>
      <rPr>
        <b/>
        <sz val="11"/>
        <color rgb="FF000000"/>
        <rFont val="Calibri, sans-serif"/>
      </rPr>
      <t xml:space="preserve">П.п. 13.2.2: </t>
    </r>
    <r>
      <rPr>
        <sz val="11"/>
        <color rgb="FF000000"/>
        <rFont val="Calibri, sans-serif"/>
      </rPr>
      <t>При укладке первого ряда блоков на основание из капиллярно-пористых
материалов следует устраивать отсечную горизонтальную гидроизоляцию. В качестве такой
гидроизоляции могут использоваться рулонные битумные материалы, мастики,
гидроизоляционные растворы на основе сухих строительных смесей и другие применимые
решения</t>
    </r>
  </si>
  <si>
    <r>
      <rPr>
        <b/>
        <sz val="11"/>
        <color rgb="FF000000"/>
        <rFont val="Calibri, sans-serif"/>
      </rPr>
      <t>Замена сборных металлических перемычек на заводские газобетонные или ж/б
Предложение:</t>
    </r>
    <r>
      <rPr>
        <sz val="11"/>
        <color rgb="FF000000"/>
        <rFont val="Calibri, sans-serif"/>
      </rPr>
      <t xml:space="preserve"> В проекте используется сложная номенклатура сварных перемычек из уголков и пластин (А3, А4, В3, В4 и т.д.). Это требует большого объема сварочных работ на площадке, антикоррозийной обработки и огнезащиты.
</t>
    </r>
    <r>
      <rPr>
        <b/>
        <sz val="11"/>
        <color rgb="FF000000"/>
        <rFont val="Calibri, sans-serif"/>
      </rPr>
      <t>Оптимизация:</t>
    </r>
    <r>
      <rPr>
        <sz val="11"/>
        <color rgb="FF000000"/>
        <rFont val="Calibri, sans-serif"/>
      </rPr>
      <t xml:space="preserve"> Заменить стандартные перемычки (пролетом до 2м) на готовые армированные газобетонные перемычки (брусковые) того же производителя, что и блоки.
</t>
    </r>
    <r>
      <rPr>
        <b/>
        <sz val="11"/>
        <color rgb="FF000000"/>
        <rFont val="Calibri, sans-serif"/>
      </rPr>
      <t>Выгода:</t>
    </r>
    <r>
      <rPr>
        <sz val="11"/>
        <color rgb="FF000000"/>
        <rFont val="Calibri, sans-serif"/>
      </rPr>
      <t xml:space="preserve">
Отсутствие мостиков холода (однородный материал стены).
Исключение затрат на огнезащиту металла.
Ускорение монтажа (нет сварки).
Упрощение штукатурных работ (нет разнородных поверхностей металл/бетон).</t>
    </r>
  </si>
  <si>
    <r>
      <rPr>
        <b/>
        <sz val="11"/>
        <color rgb="FF000000"/>
        <rFont val="Calibri, sans-serif"/>
      </rPr>
      <t>2. Устойчивость перегородок толщиной 80 мм</t>
    </r>
    <r>
      <rPr>
        <sz val="11"/>
        <color rgb="FF000000"/>
        <rFont val="Calibri, sans-serif"/>
      </rPr>
      <t xml:space="preserve">
</t>
    </r>
    <r>
      <rPr>
        <b/>
        <sz val="11"/>
        <color rgb="FF000000"/>
        <rFont val="Calibri, sans-serif"/>
      </rPr>
      <t>Где:</t>
    </r>
    <r>
      <rPr>
        <sz val="11"/>
        <color rgb="FF000000"/>
        <rFont val="Calibri, sans-serif"/>
      </rPr>
      <t xml:space="preserve"> Ведомости материалов (поз. 6: Блоки 625х80х250).
</t>
    </r>
    <r>
      <rPr>
        <b/>
        <sz val="11"/>
        <color rgb="FF000000"/>
        <rFont val="Calibri, sans-serif"/>
      </rPr>
      <t xml:space="preserve">Описание: </t>
    </r>
    <r>
      <rPr>
        <sz val="11"/>
        <color rgb="FF000000"/>
        <rFont val="Calibri, sans-serif"/>
      </rPr>
      <t xml:space="preserve">Проектом заложены межкомнатные перегородки толщиной всего 80 мм.
</t>
    </r>
    <r>
      <rPr>
        <b/>
        <sz val="11"/>
        <color rgb="FF000000"/>
        <rFont val="Calibri, sans-serif"/>
      </rPr>
      <t>Проблема:</t>
    </r>
    <r>
      <rPr>
        <sz val="11"/>
        <color rgb="FF000000"/>
        <rFont val="Calibri, sans-serif"/>
      </rPr>
      <t xml:space="preserve"> При высоте этажа более 3 метров (отметки на разрезах нужно сверять с АР3, но высоты этажей жилья обычно 3.0-3.3м) гибкость такой стены критическая. Без установки дополнительных фахверковых стоек (металлокаркаса) и армирования каждый 2-й ряд, такие стены склонны к трещинообразованию от хлопков дверями и деформаций перекрытий.
</t>
    </r>
    <r>
      <rPr>
        <b/>
        <sz val="11"/>
        <color rgb="FF000000"/>
        <rFont val="Calibri, sans-serif"/>
      </rPr>
      <t>Последствие</t>
    </r>
    <r>
      <rPr>
        <sz val="11"/>
        <color rgb="FF000000"/>
        <rFont val="Calibri, sans-serif"/>
      </rPr>
      <t>: Трещины в отделке, жалобы жильцов на «шатающиеся стены».</t>
    </r>
  </si>
  <si>
    <r>
      <rPr>
        <b/>
        <sz val="11"/>
        <color rgb="FF000000"/>
        <rFont val="Calibri, sans-serif"/>
      </rPr>
      <t>Унификация утеплителя</t>
    </r>
    <r>
      <rPr>
        <sz val="11"/>
        <color rgb="FF000000"/>
        <rFont val="Calibri, sans-serif"/>
      </rPr>
      <t xml:space="preserve">
</t>
    </r>
    <r>
      <rPr>
        <b/>
        <sz val="11"/>
        <color rgb="FF000000"/>
        <rFont val="Calibri, sans-serif"/>
      </rPr>
      <t>Предложение:</t>
    </r>
    <r>
      <rPr>
        <sz val="11"/>
        <color rgb="FF000000"/>
        <rFont val="Calibri, sans-serif"/>
      </rPr>
      <t xml:space="preserve"> В спецификациях (Лист 12 и др.) указан «зоопарк» утеплителей: BASWOOL Лайт 35, BASWOOL Вент Фасад 80, Технониколь Техновент, Технофас, Изотек, Izovol.
</t>
    </r>
    <r>
      <rPr>
        <b/>
        <sz val="11"/>
        <color rgb="FF000000"/>
        <rFont val="Calibri, sans-serif"/>
      </rPr>
      <t>Оптимизация:</t>
    </r>
    <r>
      <rPr>
        <sz val="11"/>
        <color rgb="FF000000"/>
        <rFont val="Calibri, sans-serif"/>
      </rPr>
      <t xml:space="preserve"> Унифицировать марки утеплителя до 1-2 производителей и типов для снижения логистических издержек и остатков (обрезков) на площадке.</t>
    </r>
  </si>
  <si>
    <r>
      <rPr>
        <b/>
        <sz val="11"/>
        <color rgb="FF000000"/>
        <rFont val="Calibri, sans-serif"/>
      </rPr>
      <t>3. Прогиб металлических перемычек на больших пролетах</t>
    </r>
    <r>
      <rPr>
        <sz val="11"/>
        <color rgb="FF000000"/>
        <rFont val="Calibri, sans-serif"/>
      </rPr>
      <t xml:space="preserve">
</t>
    </r>
    <r>
      <rPr>
        <b/>
        <sz val="11"/>
        <color rgb="FF000000"/>
        <rFont val="Calibri, sans-serif"/>
      </rPr>
      <t>Где:</t>
    </r>
    <r>
      <rPr>
        <sz val="11"/>
        <color rgb="FF000000"/>
        <rFont val="Calibri, sans-serif"/>
      </rPr>
      <t xml:space="preserve"> Спецификации перемычек (например, марка С3-30, С3-31, Лист 5, Лист 12).
</t>
    </r>
    <r>
      <rPr>
        <b/>
        <sz val="11"/>
        <color rgb="FF000000"/>
        <rFont val="Calibri, sans-serif"/>
      </rPr>
      <t xml:space="preserve">Описание: </t>
    </r>
    <r>
      <rPr>
        <sz val="11"/>
        <color rgb="FF000000"/>
        <rFont val="Calibri, sans-serif"/>
      </rPr>
      <t xml:space="preserve">Перемычка С3-31 длиной 3140 мм (пролет ~2.7-2.8м) выполнена из уголка 50х5 (поз. 32 на Листе 12).
</t>
    </r>
    <r>
      <rPr>
        <b/>
        <sz val="11"/>
        <color rgb="FF000000"/>
        <rFont val="Calibri, sans-serif"/>
      </rPr>
      <t>Проблема:</t>
    </r>
    <r>
      <rPr>
        <sz val="11"/>
        <color rgb="FF000000"/>
        <rFont val="Calibri, sans-serif"/>
      </rPr>
      <t xml:space="preserve"> Для пролета почти 3 метра уголок 50х5 имеет слишком малый момент инерции. Даже если он не несет нагрузку от перекрытия (самонесущая стена), вес кладки над ним (треугольник нагрузки) может вызвать прогиб, превышающий допустимый (1/200), что приведет к трещинам в кладке над проемом.
</t>
    </r>
    <r>
      <rPr>
        <b/>
        <sz val="11"/>
        <color rgb="FF000000"/>
        <rFont val="Calibri, sans-serif"/>
      </rPr>
      <t>Последствие</t>
    </r>
    <r>
      <rPr>
        <sz val="11"/>
        <color rgb="FF000000"/>
        <rFont val="Calibri, sans-serif"/>
      </rPr>
      <t>: Разрушение кладки над широкими проемами, заклинивание оконных/дверных блоков. Требуется поверочный расчет или замена на швеллер/больший уголок.</t>
    </r>
  </si>
  <si>
    <r>
      <rPr>
        <sz val="11"/>
        <color rgb="FF000000"/>
        <rFont val="Calibri, sans-serif"/>
      </rPr>
      <t xml:space="preserve">Допустимый прогиб в максимальном проеме: 
1550/200=7,75 мм.
Расчетный прогиб: </t>
    </r>
    <r>
      <rPr>
        <b/>
        <sz val="11"/>
        <color rgb="FF000000"/>
        <rFont val="Calibri, sans-serif"/>
      </rPr>
      <t>5,8 мм.</t>
    </r>
    <r>
      <rPr>
        <sz val="11"/>
        <color rgb="FF000000"/>
        <rFont val="Calibri, sans-serif"/>
      </rPr>
      <t xml:space="preserve">
2. Проблема кручения (Самое опасное):
Расчет выше верен для балки, нагрузка на которую падает строго вертикально по центру тяжести.
Но у вас L-образный уголок 40х5.
Блок опирается на полку шириной всего 40 мм.
Центр тяжести блока (100 мм от края для стены 200 мм) не совпадает с центром жесткости уголка.
</t>
    </r>
    <r>
      <rPr>
        <b/>
        <sz val="11"/>
        <color rgb="FF000000"/>
        <rFont val="Calibri, sans-serif"/>
      </rPr>
      <t>Создается крутящий момент, который пытается вывернуть уголок наружу.</t>
    </r>
    <r>
      <rPr>
        <sz val="11"/>
        <color rgb="FF000000"/>
        <rFont val="Calibri, sans-serif"/>
      </rPr>
      <t xml:space="preserve">
Уголок 40х5 имеет ничтожную жесткость на кручение. На длине 1,7 метра под весом 100 кг (вес части кладки на одном уголке) его просто скрутит винтом, и блок соскользнет или треснет.
3. Отсутствие запаса:
Расчет выполнен для</t>
    </r>
    <r>
      <rPr>
        <b/>
        <sz val="11"/>
        <color rgb="FF000000"/>
        <rFont val="Calibri, sans-serif"/>
      </rPr>
      <t xml:space="preserve"> идеальных условий</t>
    </r>
    <r>
      <rPr>
        <sz val="11"/>
        <color rgb="FF000000"/>
        <rFont val="Calibri, sans-serif"/>
      </rPr>
      <t>. Если каменщики положат чуть больше раствора, или используют блоки D600 повышенной влажности, прогиб превысит 8-9 мм. Газобетон — хрупкий материал, он треснет уже при прогибе перемычки в 3-4 мм (раскроется вертикальный шов по центру).</t>
    </r>
  </si>
  <si>
    <r>
      <rPr>
        <b/>
        <sz val="11"/>
        <color rgb="FF000000"/>
        <rFont val="Calibri, sans-serif"/>
      </rPr>
      <t>Исключение "шпилек" в перемычках</t>
    </r>
    <r>
      <rPr>
        <sz val="11"/>
        <color rgb="FF000000"/>
        <rFont val="Calibri, sans-serif"/>
      </rPr>
      <t xml:space="preserve">
</t>
    </r>
    <r>
      <rPr>
        <b/>
        <sz val="11"/>
        <color rgb="FF000000"/>
        <rFont val="Calibri, sans-serif"/>
      </rPr>
      <t>Предложение:</t>
    </r>
    <r>
      <rPr>
        <sz val="11"/>
        <color rgb="FF000000"/>
        <rFont val="Calibri, sans-serif"/>
      </rPr>
      <t xml:space="preserve"> В спецификации перемычек (например, В3-13, Лист 5) используются анкер-шпильки MKT. Это дорогой крепеж.
</t>
    </r>
    <r>
      <rPr>
        <b/>
        <sz val="11"/>
        <color rgb="FF000000"/>
        <rFont val="Calibri, sans-serif"/>
      </rPr>
      <t>Оптимизация:</t>
    </r>
    <r>
      <rPr>
        <sz val="11"/>
        <color rgb="FF000000"/>
        <rFont val="Calibri, sans-serif"/>
      </rPr>
      <t xml:space="preserve"> Для ненесущих перегородок рассмотреть крепление уголков с помощью арматурных "усов" в швы кладки или более дешевых аналогов анкеров, если нагрузки позволяют.
</t>
    </r>
  </si>
  <si>
    <r>
      <rPr>
        <b/>
        <sz val="11"/>
        <color rgb="FF000000"/>
        <rFont val="Calibri, sans-serif"/>
      </rPr>
      <t>* Огнезащита металлических перемычек (Бюджетный риск)</t>
    </r>
    <r>
      <rPr>
        <sz val="11"/>
        <color rgb="FF000000"/>
        <rFont val="Calibri, sans-serif"/>
      </rPr>
      <t xml:space="preserve">
</t>
    </r>
    <r>
      <rPr>
        <b/>
        <sz val="11"/>
        <color rgb="FF000000"/>
        <rFont val="Calibri, sans-serif"/>
      </rPr>
      <t>Вопрос</t>
    </r>
    <r>
      <rPr>
        <sz val="11"/>
        <color rgb="FF000000"/>
        <rFont val="Calibri, sans-serif"/>
      </rPr>
      <t xml:space="preserve">: В примечаниях (Лист 17, п.5) сказано: «Разработать проект огнезащиты металлических конструкций перемычек...».
</t>
    </r>
    <r>
      <rPr>
        <b/>
        <sz val="11"/>
        <color rgb="FF000000"/>
        <rFont val="Calibri, sans-serif"/>
      </rPr>
      <t>Суть</t>
    </r>
    <r>
      <rPr>
        <sz val="11"/>
        <color rgb="FF000000"/>
        <rFont val="Calibri, sans-serif"/>
      </rPr>
      <t xml:space="preserve">: В спецификациях заложены сотни метров металлического уголка. Весь этот металл должен быть покрыт огнезащитным составом для обеспечения требуемого REI (особенно над путями эвакуации). Обычная краска ПФ-115 (указанная в п.4 примечаний) не является огнезащитой.
</t>
    </r>
    <r>
      <rPr>
        <b/>
        <sz val="11"/>
        <color rgb="FF000000"/>
        <rFont val="Calibri, sans-serif"/>
      </rPr>
      <t xml:space="preserve">Риск: </t>
    </r>
    <r>
      <rPr>
        <sz val="11"/>
        <color rgb="FF000000"/>
        <rFont val="Calibri, sans-serif"/>
      </rPr>
      <t>Огромные неучтенные затраты на огнезащитную краску и работы. Кто это бюджетировал?</t>
    </r>
  </si>
  <si>
    <t>Описано ли в документации выполнять противопожарную окраску металлокаркаса?</t>
  </si>
  <si>
    <r>
      <rPr>
        <b/>
        <sz val="11"/>
        <color rgb="FF000000"/>
        <rFont val="Calibri, sans-serif"/>
      </rPr>
      <t>Система перемычек в ненесущих перегородках (ГСБ)</t>
    </r>
    <r>
      <rPr>
        <sz val="11"/>
        <color rgb="FF000000"/>
        <rFont val="Calibri, sans-serif"/>
      </rPr>
      <t xml:space="preserve">
</t>
    </r>
    <r>
      <rPr>
        <b/>
        <sz val="11"/>
        <color rgb="FF000000"/>
        <rFont val="Calibri, sans-serif"/>
      </rPr>
      <t>Текущее решение:</t>
    </r>
    <r>
      <rPr>
        <sz val="11"/>
        <color rgb="FF000000"/>
        <rFont val="Calibri, sans-serif"/>
      </rPr>
      <t xml:space="preserve"> Массовое применение стальных перемычек из прокатных уголков (L 40x5, L 50x5, L 80x6) со стальными соединительными пластинами и креплением на дорогостоящие химические анкеры (MKT). Согласно сводной ведомости (АР2, л. 7), только в подземной части заложено 837,9 кг металла на перемычки.
</t>
    </r>
    <r>
      <rPr>
        <b/>
        <sz val="11"/>
        <color rgb="FF000000"/>
        <rFont val="Calibri, sans-serif"/>
      </rPr>
      <t>Предложение по оптимизации:</t>
    </r>
    <r>
      <rPr>
        <sz val="11"/>
        <color rgb="FF000000"/>
        <rFont val="Calibri, sans-serif"/>
      </rPr>
      <t xml:space="preserve">
Для проемов шириной до 1200 мм в перегородках из ГСБ заменить стальные уголки на </t>
    </r>
    <r>
      <rPr>
        <b/>
        <sz val="11"/>
        <color rgb="FF000000"/>
        <rFont val="Calibri, sans-serif"/>
      </rPr>
      <t>армирование стальными стержнями (2Ø10-12 A500C</t>
    </r>
    <r>
      <rPr>
        <sz val="11"/>
        <color rgb="FF000000"/>
        <rFont val="Calibri, sans-serif"/>
      </rPr>
      <t xml:space="preserve">), уложенными в штрабу в слое клея.
Для более широких проемов использовать заводские газобетонные перемычки или U-блоки с заполнением бетоном.
</t>
    </r>
    <r>
      <rPr>
        <b/>
        <sz val="11"/>
        <color rgb="FF000000"/>
        <rFont val="Calibri, sans-serif"/>
      </rPr>
      <t>Обоснование (Выгода):</t>
    </r>
    <r>
      <rPr>
        <sz val="11"/>
        <color rgb="FF000000"/>
        <rFont val="Calibri, sans-serif"/>
      </rPr>
      <t xml:space="preserve"> Полное исключение затрат на закупку фасонного проката, пластин и химических анкеров. Отказ от обязательных работ по антикоррозийной защите (грунт + эмаль) и огнезащите металла (требование п. 4-5 примечаний АР2, л. 7). Снижение трудозатрат на 30%.
Техническая безопасность: Соответствует рекомендациям производителей ГСБ (СТО НААГ). Несущая способность для ненесущих стен обеспечивается армированием.</t>
    </r>
  </si>
  <si>
    <r>
      <rPr>
        <b/>
        <sz val="11"/>
        <color rgb="FF000000"/>
        <rFont val="Calibri, sans-serif"/>
      </rPr>
      <t>* Звукоизоляция межквартирных стен
Вопрос</t>
    </r>
    <r>
      <rPr>
        <sz val="11"/>
        <color rgb="FF000000"/>
        <rFont val="Calibri, sans-serif"/>
      </rPr>
      <t xml:space="preserve">: Стены между квартирами и коридором выполнены из блока 200 мм D600/D500 (Лист 12, поз. 1, 1.2).
</t>
    </r>
    <r>
      <rPr>
        <b/>
        <sz val="11"/>
        <color rgb="FF000000"/>
        <rFont val="Calibri, sans-serif"/>
      </rPr>
      <t>Суть</t>
    </r>
    <r>
      <rPr>
        <sz val="11"/>
        <color rgb="FF000000"/>
        <rFont val="Calibri, sans-serif"/>
      </rPr>
      <t xml:space="preserve">: Газобетон 200 мм D500 имеет индекс изоляции воздушного шума Rw ≈ </t>
    </r>
    <r>
      <rPr>
        <b/>
        <sz val="11"/>
        <color rgb="FF000000"/>
        <rFont val="Calibri, sans-serif"/>
      </rPr>
      <t>43-45 дБ (без штукатурки). Норматив СП 51.13330 для межквартирных стен — 52 дБ.</t>
    </r>
    <r>
      <rPr>
        <sz val="11"/>
        <color rgb="FF000000"/>
        <rFont val="Calibri, sans-serif"/>
      </rPr>
      <t xml:space="preserve">
</t>
    </r>
    <r>
      <rPr>
        <b/>
        <sz val="11"/>
        <color rgb="FF000000"/>
        <rFont val="Calibri, sans-serif"/>
      </rPr>
      <t>Риск:</t>
    </r>
    <r>
      <rPr>
        <sz val="11"/>
        <color rgb="FF000000"/>
        <rFont val="Calibri, sans-serif"/>
      </rPr>
      <t xml:space="preserve"> Стена не проходит по звукоизоляции. Требуется либо увеличение толщины (до 250-300мм), либо использование специализированных акустических конструкций (обшивка ГКЛ с ватой). Учтено ли это в разделе отделки (АИ)?</t>
    </r>
  </si>
  <si>
    <r>
      <rPr>
        <b/>
        <sz val="11"/>
        <color rgb="FF000000"/>
        <rFont val="Calibri, sans-serif"/>
      </rPr>
      <t>Материал стен коммуникационных шахт</t>
    </r>
    <r>
      <rPr>
        <sz val="11"/>
        <color rgb="FF000000"/>
        <rFont val="Calibri, sans-serif"/>
      </rPr>
      <t xml:space="preserve">
Текущее решение: Стены шахт во всем здании (1–15 этажи) выполнены из полнотелого керамического кирпича толщиной 120 и 250 мм (АР4, л. 1).
Предложение по оптимизации: Замена кирпича на </t>
    </r>
    <r>
      <rPr>
        <b/>
        <sz val="11"/>
        <color rgb="FF000000"/>
        <rFont val="Calibri, sans-serif"/>
      </rPr>
      <t>силикатные блоки (СКЦ) или перегородочные плиты (ПГП)</t>
    </r>
    <r>
      <rPr>
        <sz val="11"/>
        <color rgb="FF000000"/>
        <rFont val="Calibri, sans-serif"/>
      </rPr>
      <t xml:space="preserve"> аналогичной толщины (при условии соблюдения требований REI).
Обоснование (Выгода): Кирпичная кладка требует обязательного оштукатуривания с двух сторон. Силикатные блоки имеют высокую точность геометрии, что позволяет выполнять тонкослойную шпаклевку или оставлять поверхность без отделки в техзонах. Вес СКЦ меньше, что снижает нагрузку на перекрытия. Скорость монтажа возрастает в 2.5 раза.
Техническая безопасность: REI для шахт (обычно REI 60–150) обеспечивается подбором соответствующей плотности блоков. </t>
    </r>
    <r>
      <rPr>
        <b/>
        <sz val="11"/>
        <color rgb="FF000000"/>
        <rFont val="Calibri, sans-serif"/>
      </rPr>
      <t xml:space="preserve">(ШАХТЫ СЛАБОТОЧЕК И ЭЛЕКТРИКИ (СУХИЕ)) </t>
    </r>
  </si>
  <si>
    <r>
      <rPr>
        <b/>
        <sz val="11"/>
        <color rgb="FF000000"/>
        <rFont val="Calibri, sans-serif"/>
      </rPr>
      <t>* Граница работ по отверстиям
Вопрос:</t>
    </r>
    <r>
      <rPr>
        <sz val="11"/>
        <color rgb="FF000000"/>
        <rFont val="Calibri, sans-serif"/>
      </rPr>
      <t xml:space="preserve"> Примечание п.4 на листах гласит: «Отверстия &lt;= 100 мм выполнять по месту».
</t>
    </r>
    <r>
      <rPr>
        <b/>
        <sz val="11"/>
        <color rgb="FF000000"/>
        <rFont val="Calibri, sans-serif"/>
      </rPr>
      <t>Суть:</t>
    </r>
    <r>
      <rPr>
        <sz val="11"/>
        <color rgb="FF000000"/>
        <rFont val="Calibri, sans-serif"/>
      </rPr>
      <t xml:space="preserve"> Это классическая «серая зона». Подрядчик по кладке откажется сверлить сотни отверстий бесплатно. Подрядчик по инженерии скажет, что это должен был сделать общестрой.
</t>
    </r>
    <r>
      <rPr>
        <b/>
        <sz val="11"/>
        <color rgb="FF000000"/>
        <rFont val="Calibri, sans-serif"/>
      </rPr>
      <t>Рекомендация:</t>
    </r>
    <r>
      <rPr>
        <sz val="11"/>
        <color rgb="FF000000"/>
        <rFont val="Calibri, sans-serif"/>
      </rPr>
      <t xml:space="preserve"> Четко прописать в договоре подряда, чья это зона ответственности и включены ли расходники (алмазные коронки) в смету.</t>
    </r>
  </si>
  <si>
    <t>Добавить в бюджет проекта статью «Расходные материалы для алмазного бурения» и «Герметизация проходок» (пена, гильзы).</t>
  </si>
  <si>
    <t>Ошибка: В разделе ТХ.А (Лист 7, поз. 3.2) и на схеме знаков Лист 6 (Изображение 9ET3) заложен дорожный знак 3.1.3 «Ограничение высоты» со значением 1,8 м.
Последствие: Большинство современных внедорожников и кроссоверов (даже без багажника на крыше) имеют высоту от 1,85 до 2,0 м (например, Toyota LC300, Land Rover Defender, микроавтобусы). Ограничение 1,8 м сделает паркинг недоступным для значительной части жильцов бизнес-класса. Согласно СП 113.13330, рекомендуемая высота проезда в свету — не менее 2,1 м. Необходимо проверить отметки подвесных коммуникаций (ОВ, АПТ) на рампе.</t>
  </si>
  <si>
    <r>
      <rPr>
        <sz val="11"/>
        <color rgb="FF000000"/>
        <rFont val="Calibri, sans-serif"/>
      </rPr>
      <t>Из СП 11.13330.2023 п.п. 5.17: "Высота помещений хранения автомобилей, а также</t>
    </r>
    <r>
      <rPr>
        <b/>
        <sz val="11"/>
        <color rgb="FF000000"/>
        <rFont val="Calibri, sans-serif"/>
      </rPr>
      <t xml:space="preserve"> расстояние от пола до низа</t>
    </r>
    <r>
      <rPr>
        <sz val="11"/>
        <color rgb="FF000000"/>
        <rFont val="Calibri, sans-serif"/>
      </rPr>
      <t xml:space="preserve">
</t>
    </r>
    <r>
      <rPr>
        <b/>
        <sz val="11"/>
        <color rgb="FF000000"/>
        <rFont val="Calibri, sans-serif"/>
      </rPr>
      <t>выступающих строительных конструкций,</t>
    </r>
    <r>
      <rPr>
        <sz val="11"/>
        <color rgb="FF000000"/>
        <rFont val="Calibri, sans-serif"/>
      </rPr>
      <t xml:space="preserve"> инженерных коммуникаций или подвесного
оборудования в местах проезда автомобилей,</t>
    </r>
    <r>
      <rPr>
        <b/>
        <sz val="11"/>
        <color rgb="FF000000"/>
        <rFont val="Calibri, sans-serif"/>
      </rPr>
      <t xml:space="preserve"> высота над рампами и воротами должны быть
на 0,2 м больше высоты наиболее высокого автомобиля,</t>
    </r>
    <r>
      <rPr>
        <sz val="11"/>
        <color rgb="FF000000"/>
        <rFont val="Calibri, sans-serif"/>
      </rPr>
      <t xml:space="preserve"> </t>
    </r>
    <r>
      <rPr>
        <b/>
        <sz val="11"/>
        <color rgb="FF000000"/>
        <rFont val="Calibri, sans-serif"/>
      </rPr>
      <t>но не менее 2 м</t>
    </r>
    <r>
      <rPr>
        <sz val="11"/>
        <color rgb="FF000000"/>
        <rFont val="Calibri, sans-serif"/>
      </rPr>
      <t>. При этом классы
размещаемых автомобилей указывают в задании на проектирование. Высота проходов на
путях эвакуации людей должна быть не менее 2 м."</t>
    </r>
  </si>
  <si>
    <r>
      <rPr>
        <sz val="11"/>
        <color rgb="FF000000"/>
        <rFont val="Calibri, sans-serif"/>
      </rPr>
      <t xml:space="preserve">Наблюдение: В спецификации ТХ.А (Лист 7, Блок ACEX) заложены малогабаритные знаки 400 мм.
Предложение: Учитывая крайне ограниченную высоту (1.8 м) и ширину проездов, рекомендуется заменить часть </t>
    </r>
    <r>
      <rPr>
        <b/>
        <sz val="11"/>
        <color rgb="FF000000"/>
        <rFont val="Calibri, sans-serif"/>
      </rPr>
      <t>знаков на вертикальную настенную разметку или покраску по трафарету непосредственно на колоннах</t>
    </r>
    <r>
      <rPr>
        <sz val="11"/>
        <color rgb="FF000000"/>
        <rFont val="Calibri, sans-serif"/>
      </rPr>
      <t xml:space="preserve"> (как показано в Листе 6, Изображение 9C9W). Это дешевле в закупке и исключает риск того, что водитель зацепит знак кузовом автомобиля.</t>
    </r>
  </si>
  <si>
    <t>Ошибка: В документации раздела ТХ (Технологические решения) зафиксировано требование, допускающее эксплуатацию паркинга автомобилями с дорожным просветом (клиренсом) от 0,08 м (80 мм) (см. 133-23-ГК-ТХ.А (вер4), стр. 5, раздел «Общие указания»). Данное требование находится в прямом противоречии с проектными решениями раздела АР (Архитектурные решения), где на чертеже Узла 1 (см. 133/23-ГК-АР1, лист 5) запроектирован профиль рампы с основным уклоном 18% и переходными участками (аппарелями) длиной 1500 мм.</t>
  </si>
  <si>
    <t>Запроектированная геометрия рампы физически не обеспечивает безопасный проезд расчетного автомобиля (колесная база ~3000 мм) с заявленным в ТХ клиренсом 80 мм. При прохождении верхнего перелома профиля (переход с уклона 18% в горизонт) геометрическое провисание днища автомобиля относительно гребня рампы составляет 45 мм, что оставляет остаточный запас клиренса всего 35 мм. Данного запаса недостаточно для компенсации динамического сжатия подвески при движении (амплитуда 20–30 мм) и строительных допусков, что гарантированно приведет к контакту днища с поверхностью рампы и массовому материальному ущербу.</t>
  </si>
  <si>
    <t>Предложение: В спецификации ТХ.А (Лист 7, поз. 10) заложено 128 колесоотбойников длиной 2000 мм (резина).
Выгода: Для зон, где не требуется «мягкая» парковка (например, защита инженерных стояков или разделители потоков на рампе), целесообразнее использовать стационарные металлические колесоотбойники из трубы Ø108х4. Это в 1.5-2 раза дешевле в долгосрочной эксплуатации, так как резиновые изделия часто отрываются при наезде тяжелых внедорожников.</t>
  </si>
  <si>
    <r>
      <rPr>
        <b/>
        <sz val="11"/>
        <color rgb="FF000000"/>
        <rFont val="Calibri, sans-serif"/>
      </rPr>
      <t>[Подъемник в мусорокамере — Импортозамещение]</t>
    </r>
    <r>
      <rPr>
        <sz val="11"/>
        <color rgb="FF000000"/>
        <rFont val="Calibri, sans-serif"/>
      </rPr>
      <t xml:space="preserve">
Текущее решение: Гидравлический подъемник г/п 1000 кг марки HULKER L-1000 / PANDA LIFT (ТХ.М, л. 6).
Предложение по оптимизации: Замена на грузовую подъемную платформу отечественного производства (например, заводы «ЛИФТПРОМ», «ПТМ» или аналоги).
Обоснование (Выгода): Стоимость европейских или премиальных китайских брендов (Panda Lift) включает значительную наценку за логистику и бренд. Российские аналоги гидравлических столовых или консольных подъемников с аналогичными характеристиками (1000 кг, 15 см/сек) дешевле на 30–50% и проще в сервисном обслуживании (наличие запчастей).
Техническая безопасность: Функционал (подъем контейнеров ТБО на уровень земли) сохраняется полностью.</t>
    </r>
  </si>
  <si>
    <r>
      <rPr>
        <b/>
        <sz val="11"/>
        <color rgb="FF000000"/>
        <rFont val="Calibri, sans-serif"/>
      </rPr>
      <t xml:space="preserve"> [Колесоотбойники в паркинге]</t>
    </r>
    <r>
      <rPr>
        <sz val="11"/>
        <color rgb="FF000000"/>
        <rFont val="Calibri, sans-serif"/>
      </rPr>
      <t xml:space="preserve">
Текущее решение: Колесоотбойное устройство длиной 2000 мм в количестве 128 шт. (ТХ.А, л. 7, поз. 10).
Предложение по оптимизации: Замена сплошного отбойника (2000 мм) на два сегмента по 600 мм на каждое машиноместо.
Обоснование (Выгода): Использование двух коротких сегментов вместо одного длинного сокращает расход материала (резины/композита) на 40%. Упрощается логистика и замена поврежденного элемента (не нужно менять весь двухметровый брус).
Техническая безопасность: Обеспечивает надежную фиксацию колес автомобиля. Полностью соответствует практике проектирования современных паркингов.,</t>
    </r>
  </si>
  <si>
    <t>Спецификация (л. 1) / Схемы (л. 3.1, 4.1, 15)</t>
  </si>
  <si>
    <t>Несоответствие спецификации и схем (Контроллеры)</t>
  </si>
  <si>
    <t>Нарушение п. 4.1.2 ГОСТ Р 21.101-2020. В спецификации (поз. 2.1 — 2 шт. для А3, А4; поз. 2.11 — 1 шт. для А5) указан IP-концентратор КУН-IP4 (всего 3 шт.), тогда как на принципиальных схемах (л. 3.1 — схема ЩАСУД.3; л. 6 — схема подключения к ЛВС; л. 15 — схема соединений А5) применяется КУН-IP8 с иным количеством портовых интерфейсов (4 порта RS-485 у КУН-IP4 против 8 у КУН-IP8). При использовании КУН-IP4 невозможно подключить проектный объём оборудования.</t>
  </si>
  <si>
    <t>Привести спецификацию в соответствие с принятыми схемотехническими решениями: заменить КУН-IP4 на КУН-IP8 (НПО «Текон-Автоматика») в поз. 2.1 (2 шт. — концентраторы А3 и А4 в составе ЩАСУД.3) и в поз. 2.11 (1 шт. — концентратор А5 системы защиты от протечек).</t>
  </si>
  <si>
    <t>Закупка оборудования, неспособного обеспечить подключение всех проектных линий связи. Невозможность пусконаладки.</t>
  </si>
  <si>
    <t>Спецификация (л. СО, поз. 3.1.4) / Схема (л. 3.1)</t>
  </si>
  <si>
    <t>Несоответствие номинального тока АВДТ в спецификации и на схеме</t>
  </si>
  <si>
    <t>Нарушение п. 4.1.2 ГОСТ Р 21.101-2020. На принципиальной схеме щита ЩАСУД.3 (л. 3.1) дифференциальные автоматы QF2–QF4, защищающие розетки XS1–XS3, обозначены с номинальным током 6А. В спецификации (поз. 3.1.4) заложен АВДТ32-22C16-A-УХЛ4 (КЭАЗ) с номинальным током С16 (16А). Расхождение номинала: схема — 6А, спецификация — 16А.</t>
  </si>
  <si>
    <t>Устранить расхождение между схемой и спецификацией: либо скорректировать номинал на схеме (л. 3.1) с 6А на С16 (16А) в соответствии со спецификацией, либо заменить марку АВДТ в спецификации на модель с номиналом С6 (6А) — АВДТ32-22C6-A-УХЛ4. Выбор номинала обосновать расчётом нагрузки розеточных цепей щита ЩАСУД.3.</t>
  </si>
  <si>
    <t>Закупка АВДТ с неверным номиналом: при 16А — ослабление защиты кабеля розеточной группы (если сечение рассчитано на 6А); при 6А — ложные срабатывания при подключении допустимой нагрузки. Задержка сборки щита до выяснения корректного номинала.</t>
  </si>
  <si>
    <t>Спецификация (л. СО, поз. 3.2–3.5) / Схемы (л. 16, 18, 20, 22)</t>
  </si>
  <si>
    <t>Отсутствие оборудования в спецификации (Реле К1)</t>
  </si>
  <si>
    <t>Нарушение п. 4.1.2 ГОСТ Р 21.101-2020. На принципиальных схемах всех щитов защиты от протечек Щ.ПР (л. 16, 18, 20, 22) задействовано дополнительное промежуточное реле К1, преобразующее слаботочный сигнал «открытого коллектора» ALR блока Gidrolock Premium Plus (100 мА / 30 В) в «сухой контакт» (NC/COM/NO) для передачи аварийного сигнала на дискретный вход концентратора А5 (КУН-IP8). Согласно паспорту изготовителя (ООО «Гидроресурс»), дополнительное реле НЕ входит в комплект поставки блока управления Gidrolock Premium Plus и поставляется отдельно (арт. 50000126). Данное реле отсутствует во всех позициях спецификации щитов Щ.ПР (поз. 3.2–3.5). Общее количество щитов: 2+7+6+1 = 16 шт.</t>
  </si>
  <si>
    <t>Дополнить спецификацию (поз. 3.2–3.5) отдельной строкой: «Реле дополнительное Gidrolock 10А (перекидной контакт 1С), арт. 50000126, ООО «Гидроресурс» — 16 шт. (по одному на каждый щит Щ.ПР)». Характеристики реле: сухой контакт, нагрузочная способность 10А / 220В, перекидной контакт 1С (NC/COM/NO).</t>
  </si>
  <si>
    <t>Невозможность передачи аварийного сигнала «Протечка» от щитов Щ.ПР в систему диспетчеризации. Выход ALR блока Gidrolock (открытый коллектор 100 мА / 30 В) не совместим напрямую с дискретным входом концентратора А5. Без реле К1 диспетчер не получит сигнал о затоплении на АРМ.</t>
  </si>
  <si>
    <t>133/23-ГК-САКЗ (от 19.06.2025)</t>
  </si>
  <si>
    <t>Лист 1 (Общие данные, раздел «Основные технические решения»); Спецификация 133/23-ГК-САКЗ.СО (раздел 1)</t>
  </si>
  <si>
    <t>Отсутствие светозвукового оповещения</t>
  </si>
  <si>
    <t>При достижении 2-го (аварийного) порога загазованности по СО (100 мг/м³) система формирует только сигнал в диспетчерскую. В проекте отсутствуют локальные световые табло и сирены. Это является прямым нарушением СП 113.13330.2023 п. 6.3.11, требующего установки световых и звуковых индикаторов в помещениях автостоянок.</t>
  </si>
  <si>
    <t>Добавить в спецификацию светозвуковые табло (например, «ЗАГАЗОВАННОСТЬ — УХОДИ») и кабели управления ими.</t>
  </si>
  <si>
    <t>Риск для жизни людей, гарантированное отрицательное заключение надзорных органов при сдаче объекта.</t>
  </si>
  <si>
    <t>Лист 3 (Схема внешних соединений, выноски трасс); Спецификация 133/23-ГК-САКЗ.СО (поз. 2.1, 3.1)</t>
  </si>
  <si>
    <t>Дефицит кабельной продукции и защитных труб</t>
  </si>
  <si>
    <t>Суммарная длина участков трассы по математическому сложению выносок на схеме составляет 465 м (16 сегментов: 30+30+40+30+20+35+35+20+20+20+40+35+30+30+25+25). В спецификации учтено лишь 445 м кабеля и гофрированной трубы. Нарушение требований ГОСТ Р 21.101-2020 в части достоверности спецификаций и отсутствие заложенного технологического запаса на разделку и укладку (не менее 6% согласно нормам проектирования).</t>
  </si>
  <si>
    <t>Пересчитать длины участков и заложить в спецификацию не менее 493 м кабеля и трубы (с учётом нормативного запаса).</t>
  </si>
  <si>
    <t>Остановка монтажных работ, срыв сроков пусконаладки из-за невозможности физически замкнуть шлейфы.</t>
  </si>
  <si>
    <t>Лист 1 (Общие данные, раздел «Указания по монтажу»); Спецификация 133/23-ГК-САКЗ.СО (поз. 3.2)</t>
  </si>
  <si>
    <t>Недостаток монтажных элементов крепежа</t>
  </si>
  <si>
    <t>Согласно общим указаниям, монтаж трасс ведётся с шагом крепления 0,5 м. Для трассы фактической длиной 465 м требуется минимум 930 клипс. В спецификации (поз. 3.2) предусмотрено лишь 445 шт. Нарушение СП 77.13330.2016 п. 6.4 в части обеспечения надёжности крепления электропроводок.</t>
  </si>
  <si>
    <t>Увеличить количество держателей для трубы гофрированной ∕20 (поз. 3.2) до 930 шт. (с учётом поворотов и спусков — до 1000 шт.).</t>
  </si>
  <si>
    <t>Провисание кабельных трасс, экстренные дозакупки фурнитуры за счёт подрядчика.</t>
  </si>
  <si>
    <t>Лист 1 (Общие данные, «Осн. тех. решения»); Лист 4 (Примечания, п. 6); Спецификация (раздел 3)</t>
  </si>
  <si>
    <t>Недопустимая защита кабеля на спусках</t>
  </si>
  <si>
    <t>Датчики контроля устанавливаются на высоте 1,6 м от уровня пола, а магистральная проводка ведётся на высоте не менее 2,5 м. Для защиты кабельных спусков предусмотрена гибкая ПВХ труба. Согласно ПУЭ-7 п. 2.1.52 и 2.1.47, открытая проводка на высоте менее 2 м в зонах с риском механического воздействия (паркинг) должна защищаться стальными или гладкими жёсткими трубами.</t>
  </si>
  <si>
    <t>Изменить тип защитной трубы на участках опусков (заложить металлическую или гладкую жёсткую ПВХ трубу).</t>
  </si>
  <si>
    <t>Систематическое повреждение линий связи и питания открытыми дверями автомобилей или тележками.</t>
  </si>
  <si>
    <t>Лист 3 (Схема внешних соединений, конечные устройства шины); Спецификация 133/23-ГК-САКЗ.СО</t>
  </si>
  <si>
    <t>Отсутствие терминальных резисторов RS-485</t>
  </si>
  <si>
    <t>В проекте применяется цифровой интерфейс шлейфа, однако на схемах и в спецификации отсутствуют оконечные согласующие резисторы (120 Ом). Шина RS-485 является единой последовательной цепочкой от БПС-3-И до QE1.16 (465 м). Терминация необходима на обоих концах шины: на стороне БПС-3-И (выход X3) и на крайнем датчике QE1.16. Нарушение базовых требований к помехоустойчивости сетей промышленной автоматизации (стандарт TIA/EIA-485-A).</t>
  </si>
  <si>
    <t>Заложить резисторы 120 Ом в монтажные материалы и указать место их установки на схеме: на клеммах A-B датчика QE1.16 и на выходе X3 БПС-3-И (или уточнить наличие встроенной терминации по паспорту оборудования).</t>
  </si>
  <si>
    <t>Возникновение волновых отражений в линии, потеря пакетов данных, периодическая потеря связи с датчиками.</t>
  </si>
  <si>
    <t>133/23-ГК-НС.АК (от 30.06.2025)</t>
  </si>
  <si>
    <t>Листы 2, 3, 4, 5, 6</t>
  </si>
  <si>
    <t>Потеря адресности: группировка контактов затворов в общих коробках ТВ1–ТВ16</t>
  </si>
  <si>
    <t>38 дисковых затворов (GS1.1–1.6, GS2.1–2.6, GS101–112, GS201–214) и 2 контрольно-сигнальных клапана (PS01, PS02) — всего 40 точек мониторинга — подключены к ~22–24 входам ШС семи адресных модулей (5 шт. АМ-4: A2, A3, A5, A6, A7 и 2 шт. АМП-4: A1, A4). Контакты затворов группируются внутри огнестойких коробок ТВ1–ТВ16: от 2 до 6 затворов на один вход ШС. Например, в коробке ТВ1 контакты 6 затворов GS1.1–GS1.6 объединены через резисторы 4к7/2к/1к и выведены одной парой жил (Кр., Чер.) на единственный вход ШС модуля А1. Аналогично ТВ8 — GS2.1–GS2.6 на один ШС модуля А4. В коробках ТВ2, ТВ3, ТВ9, ТВ10 — по 4 затвора на 2 входа ШС (2 затвора на 1 ШС).</t>
  </si>
  <si>
    <t>Переработать схемы подключения и увеличить количество адресных меток, обеспечив каждому затвору индивидуальный канал контроля (1 затвор = 1 вход ШС). Для 40 точек мониторинга по 2 контакта потребуется не менее 40 входов ШС, т.е. минимум 10 модулей АМ-4 вместо текущих 5.</t>
  </si>
  <si>
    <t>СП 484.1311500.2020 (п. 5.2 — индивидуальная идентификация). При срабатывании диспетчер увидит аварию целой группы (до 6 затворов одновременно) и не сможет локализовать, какой именно затвор перекрыт на магистрали противопожарного водоснабжения. Проблема касается всех семи модулей, включая обе АМП-4 (А1, А4). Однозначное основание для замечания ГПН/МЧС.</t>
  </si>
  <si>
    <t>Листы 2, 3, 4, 5, 6, 7, 12</t>
  </si>
  <si>
    <t>Отсутствие изоляторов короткого замыкания (ИКЗ) в адресной линии связи</t>
  </si>
  <si>
    <t>В проекте ни на схемах внешних соединений (листы 3–7), ни в спецификации оборудования (лист 12) не заложены модули изоляторов короткого замыкания (ИКЗ) для защиты и сегментирования адресной линии связи (АЛС) системы «Рубеж» протокол R3. Цепочка из 9 адресных устройств (A1→A2→A3→A4→A5→A6→A7 + ШУЗ-1 + ШУЗ-2) проходит без единого ИКЗ. Согласно паспортам изготовителя (ПАСН.423149.048 РЭ ред. 10 — АМ-4-R3 и ПАСН.423149.053 РЭ ред. 5 — АМП-4-R3) адресные метки не имеют встроенных изоляторов короткого замыкания.</t>
  </si>
  <si>
    <t>Заложить в спецификацию и отобразить на схемах внешних соединений модули ИКЗ (например, «Рубеж-ИКЗ-R3») для сегментирования АЛС внутри насосной станции. Количество и расположение определить согласно руководству изготовителя на проектирование систем R3.</t>
  </si>
  <si>
    <t>СП 484.1311500.2020 (п. 5.8). Одно короткое замыкание на любом участке АЛС (затопление коробки, повреждение кабеля) выведет из строя всю адресную шину насосной станции — потеря связи со всеми метками, потеря управления пожарными насосами НС-3/НС-4, потеря контроля задвижек водомерного узла Y1/Y2. Факт отсутствия встроенных ИКЗ подтверждён паспортами изготовителя.</t>
  </si>
  <si>
    <t>Листы 3, 4, 5, 6, 9, 12–13</t>
  </si>
  <si>
    <t>Фиктивная система огнестойкой кабельной линии (ОКЛ)</t>
  </si>
  <si>
    <t>На схемах внешних соединений (листы 3–6) указано требование прокладки кабелей «в составе ОКЛ». Кабели КПСнг(А)-FRLS и КВВГнг(А)-FRLS — огнестойкие, пригодны для ОКЛ. Коробки ГК «Гефест» E120 — огнестойкие. Однако несущие конструкции (лотки DKC SPL3505/SPL3510, крепёж BBA30/BBL3010/BBL5010) являются стандартными изделиями, не входящими в сертифицированную систему ОКЛ. Гофрированные трубы Экопласт 91916/91920 (поз. 3.6, 3.7) — стандартные ПВХ трубы, не являющиеся огнестойкими: при пожаре расплавятся, оставив кабель без защиты. Примечание на листе 9 прямо указывает: «прокладка кабеля в гофрированной негорючей ПВХ-трубе» — «негорючая» ≠ «огнестойкая». Огнезащитные мастики, герметики и материалы для заделки проходок в спецификации полностью отсутствуют. Единый сертификат соответствия на систему ОКЛ в сборе отсутствует.</t>
  </si>
  <si>
    <t>Заменить несущие конструкции на сертифицированную систему ОКЛ (например, DKC серии DSN/DSS — линейка «Vulcan» с комплектным крепежом). Заменить ПВХ гофру Экопласт на стальные трубы или огнестойкие гофры, входящие в сертифицированную систему. Добавить в спецификацию огнезащитные мастики и герметики для заделки проходок. Обеспечить наличие единого сертификата на систему ОКЛ в сборе по ГОСТ Р 53316-2009.</t>
  </si>
  <si>
    <t>ГОСТ Р 53316-2009, СП 484.1311500.2020 (п. 5.3, 5.10). Отсутствие сертифицированной системы ОКЛ и применение ПВХ гофры означает, что при пожаре кабельные линии к пожарным насосам потеряют работоспособность раньше нормированного времени. Инспектор ГПН при приёмке запросит сертификат ОКЛ в сборе — его не будет. Результат: демонтаж всех кабельных трасс и полная переделка с заменой материалов.</t>
  </si>
  <si>
    <t>Лист 12</t>
  </si>
  <si>
    <t>Отсутствие кабельных вводов (сальников) для шкафа ША-НС</t>
  </si>
  <si>
    <t>Для шкафа ША-НС (DKC R5ST0882, IP65) в спецификации указаны панели для ввода кабелей (поз. 1.1.11 — 2 шт.), которые являются сплошными фланцами и входят в стандартный комплект поставки шкафа (подтверждено по данным производителя DKC). Однако кабельные вводы (сальники PG/MG) для герметичного ввода кабелей через эти панели не специфицированы. Количество подводимых кабелей (K-TB1–K-TB16, K-ШУНС3, K-ШУНС4, K-ПУ3, K-ПУ4, K-PE, АЛС и др.) составляет более 20 шт. Без кабельных вводов степень защиты IP65 будет нарушена при монтаже.</t>
  </si>
  <si>
    <t>Внести в спецификацию кабельные вводы (сальники) с IP65, подобранные под диаметры подводимых кабелей (например, DKC 53M2012 для КПСнг(А)-FRLS, DKC 53M2518 для КВВГнг(А)-FRLS). Предусмотреть заглушки для резервных вводов.</t>
  </si>
  <si>
    <t>ГОСТ 14254-2015 (IEC 60529). Нарушение заявленной степени защиты IP65 шкафа. Влага и конденсат из помещения насосной проникнут в шкаф, что приведёт к коррозии контактов и выходу из строя электроники адресных меток. Дозакупка сальников «по факту» при монтаже — дополнительные затраты и задержки.</t>
  </si>
  <si>
    <t>133/23-ГК-СКТВ (от 25.12.2025)</t>
  </si>
  <si>
    <t>СКТВ.СО (л. 2),
СКТВ.КЖ (л. 1–7)</t>
  </si>
  <si>
    <t>Пересортица и критическая нехватка F-разъёмов DV55 (RG6)</t>
  </si>
  <si>
    <t>По данным кабельного журнала (КЖ л. 1–7) в проекте предусмотрено 114 абонентских линий К2 кабелем RG6 (РК 75-4,8). Каждая линия подключается к этажному ответвителю через F-разъём DV55 — это минимум 114 шт. только со стороны ответвителей. При подключении со стороны квартиры (второй конец кабеля) потребность удваивается до 228 шт. Дополнительно: внутришкафная коммутация кабелем РК 75-4,8 (общие указания, лист 2: «коммутацию между оборудованием внутри шкафов выполнить кабелем РК 75-4,8-331фнг(А)-HF из расчёта 0,5 м») и подключение 23 согласованных нагрузок DV23 через F-порты увеличивают потребность до 140–250 шт. DV55 в зависимости от способа подключения в квартире.
В спецификации (поз. III.2) заложено всего 20 шт. разъёмов DV55 (RG6) — дефицит от 120 до 230 шт.
При этом разъёмов DV54 для магистрального кабеля RG11 заложено 140 шт. (поз. III.1), тогда как по КЖ насчитывается 36 магистральных отрезков К1 × 2 конца = 72 шт., с запасом ~80 шт. — избыток ~60 шт.
Вероятно, количества DV54 и DV55 перепутаны местами при заполнении спецификации.</t>
  </si>
  <si>
    <t>1) Пересчитать количество разъёмов DV55 (RG6):
   — минимум 114 шт. (только со стороны ответвителей, ×1),
   — оптимально 170 шт. (с учётом коммутации + нагрузок + запас 10%),
   — максимум 250 шт. (если оба конца К2, ×2, + коммутация + запас).
2) Пересчитать разъёмы DV54 (RG11) до ~90 шт.
   (36 магистральных отрезков × 2 конца = 72, с запасом 10% ≈ 80, плюс резерв).
3) Уточнить способ подключения в квартирах — ТВ-розетка или свободный конец — для определения, нужен ли второй DV55 на каждую линию К2.
4) Сверить итоговое число абонентских линий К2 в КЖ (114 шт.) со структурной схемой (133 квартиры).</t>
  </si>
  <si>
    <t>Невозможность подключить абонентские кабели к ответвителям в УЭРМ из-за отсутствия нужных F-коннекторов. Срыв сроков монтажа на всех этажах. Избыточная закупка DV54 (RG11) увеличивает смету без обоснования.</t>
  </si>
  <si>
    <t>133/23-ГК-АК (от 26.01.2026)</t>
  </si>
  <si>
    <t>Спецификация л. 31.1 (ЩА-П4), л. 35.1 (ЩА-П1а) и схемы питания всех щитов АК</t>
  </si>
  <si>
    <t>Недостаточный запас мощности БП 24В (ИБП60Б / МП1605, 60 Вт) — критично для ЩА-П4</t>
  </si>
  <si>
    <t>В большинстве щитов используется ИБП60Б (60 Вт с батарейным резервом). В ЩА-П4 установлен МП1605 (60 Вт, без батарейного резерва).
Состав нагрузки ЩА-П4 по спецификации (л. 31.1):
• ПЛК200-03-CS — 7 Вт
• СП310-6 — 7 Вт
• МВ210-101 + МВ210-214 + МУ210-502 — 11,5 Вт
• МУ210-403 (24DO, все выходы активны) — 10,4 Вт
• КА1..КА22 (22 реле ×0,6 Вт = 13,2 Вт, если все включены)
Итого worst-case: ~49 Вт = 82% от 60 Вт → запас 18%.
При 50% активных реле: ~43 Вт = 72% → запас 28%.
Норма ОВЕН: рекомендуемый запас ≥30%.
Для щитов с меньшим составом (ЩА-П1к, ЩА-П1р — 3 модуля + 5 реле) нагрузка ~28–30 Вт (47–50%), запас &gt;50% — замечание к ним не применяется.</t>
  </si>
  <si>
    <t>1. ЩА-П4: заменить МП1605 на ИБП120Б (120 Вт, ОВЕН) — обеспечит запас &gt;50% и добавит батарейное резервирование.
2. ЩА-П1а (КА1..КА10, 5 модулей): нагрузка на границе нормы (~42 Вт, 70%) — рекомендуется заменить ИБП60Б на ИБП120Б.
3. Для остальных щитов с нагрузкой &lt;42 Вт — ИБП60Б достаточен, замена не требуется.</t>
  </si>
  <si>
    <t>ЩА-П4: при пиковой нагрузке запас менее 18% не обеспечивает устойчивой работы. МП1605 без батарейного резерва — при кратком провале питания 220В ПЛК перезагрузится. При пожаре или нештатной ситуации недопустимо. Риск: самопроизвольный перезапуск ПЛК, потеря состояния программы.</t>
  </si>
  <si>
    <t>Принципиальные схемы МВ210-101: ЩА-П4 (л. 31.16), ЩА-П1.1тех (л. 43.14), ЩА-П1а (л. 35.13), ЩА-П5тех, ЩА-П6тех, ЩА-П8тех, ЩА-П3тех и все остальные щиты АК</t>
  </si>
  <si>
    <t>Схемы подключения Pt1000 к МВ210-101 — возможна 2-проводная схема. Требует проверки по КЖ1/КЖ2</t>
  </si>
  <si>
    <t>На схемах подключения датчиков температуры Pt1000 к модулям МВ210-101 задействованы клеммы AI и AI-R в конфигурации, соответствующей 2-проводной схеме: AI-R используется как единый возвратный провод, разделённый между всеми датчиками шины, а не как индивидуальный компенсационный провод равной длины для каждого датчика.
Тип кабелей к датчикам TE в принципиальных схемах не указан. Кабельные журналы КЖ1 и КЖ2 в составе представленных документов отсутствуют.
Требуется проверка по КЖ1/КЖ2: если применён кабель с 2 жилами — схемы подключения и кабели подлежат корректировке.</t>
  </si>
  <si>
    <t>1. Проверить по КЖ1/КЖ2 тип кабелей для цепей датчиков TE.
2. Если кабель 2-жильный (напр. МКЭШВнг(А)-HF 1×2×0,75): заменить на 3-жильный (1×3×0,75) и перейти на 3-wire конфигурацию МВ210-101 (клеммы AI+, AI−, AI-R с индивидуальным проводом равной длины).
3. Если кабель уже 3-жильный — скорректировать схемы подключения в соответствии с 3-wire топологией.</t>
  </si>
  <si>
    <t>При 2-проводной схеме сопротивление линии суммируется с сопротивлением датчика. Критическое следствие: термостат защиты от замерзания с уставкой +7°C может сработать при реальной температуре теплоносителя ≤0°C → теплообменник промёрзнет → разрыв калорифера и затопление объекта.</t>
  </si>
  <si>
    <t>Схемы интерфейса RS-485 (DB9M) во всех щитах АК: ЩА-П1а (л. 35.10), ЩА-П1к, ЩА-П4тех (л. 31.11) и др.</t>
  </si>
  <si>
    <t>Не задокументировано терминирование линии RS-485</t>
  </si>
  <si>
    <t>На всех схемах подключения интерфейса RS-485 (разъём DB9M, пины A/B/GND) для связи с системой диспетчеризации АСУД.И отсутствует указание о согласовании концов линии. Ни в спецификациях, ни на принципиальных схемах не отражено использование встроенного терминатора ПЛК200-03-CS (перемычка SW1 = 120 Ом), который должен быть активирован на крайних устройствах шины RS-485.
Шина RS-485 является протяжённой — соединяет несколько щитов по всему зданию с выходом на АСУД.И (перекрёстные ссылки: ЩА-П3тех → ЩА-П5тех и др.).</t>
  </si>
  <si>
    <t>Добавить в общие указания проекта (лист 1) и на схемы DB9M примечание: «На первом и последнем устройстве шины RS-485 установить перемычку SW1 (встроенный терминатор 120 Ом) в ПЛК200-03-CS согласно руководству ОВЕН».
Альтернатива: внешние резисторы 120 Ом в разъёме DB9M при невозможности доступа к перемычке. Вынести схему топологии шины RS-485 с указанием крайних узлов на структурную схему (лист 2).</t>
  </si>
  <si>
    <t>Отражение сигнала в длинной линии RS-485 → нестабильная связь с диспетчеризацией → периодические потери данных, ложные тревоги, отсутствие мониторинга вентсистем паркинга.</t>
  </si>
  <si>
    <t>Спецификации АК (TR-15-2, 2 м) vs коммерческие предложения NED раздела ОВ1.1 (установки П1, П1.1тех, П2тех, П3)</t>
  </si>
  <si>
    <t>Несоответствие длины капилляра термостата защиты от замерзания между разделами ОВ и АК</t>
  </si>
  <si>
    <t>В коммерческих предложениях NED (раздел ОВ1.1, КП № ND25-112372/31) для установок подобраны термостаты со следующими длинами капилляра:
• П1 → Термостат 3 м
• П1.1тех → Термостат 3 м
• П2тех → Термостат 3 м
• П3 → Термостат 1 м
В спецификациях раздела АК для всех щитов с водяными калориферами заложен TR-15-2 (2 м, ЕКФ) без разбивки по установкам.
Капилляр термостата защиты от замерзания должен полностью охватывать сечение калорифера зигзагом — при недостаточной длине зоны возможного замерзания остаются неконтролируемыми.</t>
  </si>
  <si>
    <t>Для щитов ЩА-П1/В1 и ЩА-П1.1тех: заменить TR-15-2 на TR-15-3 (3 м) в соответствии с требованиями раздела ОВ.
Для ЩА-П3/В6: TR-15-2 (2 м) избыточен, но допустим.
Согласовать и унифицировать спецификации АК и ОВ по всем установкам. Для установок П1а, П4, П2/В9 и прочих — дополнительно проверить по соответствующим разделам ОВ.</t>
  </si>
  <si>
    <t>Капилляр длиной 2 м не перекрывает полное сечение калориферов установок П1, П1.1тех, П2тех. При замерзании непроконтролированного участка — разрыв теплообменника (гидроудар), затопление объекта. Нарушение требований СП 60.13330.2020.</t>
  </si>
  <si>
    <t>133_23-ГК-СОТ (от 15.01.2026)</t>
  </si>
  <si>
    <t>Лист 30 (Схема установки на опоре) vs Спецификация (поз. III.10 и III.11)</t>
  </si>
  <si>
    <t>Несоответствие артикулов монтажных комплектов между чертежом и спецификацией</t>
  </si>
  <si>
    <t>На схеме установки на опору (Лист 30) указаны кронштейн RVi-2BPM-3 и адаптер RVi-2BA-4 (для трубы/опоры). В спецификации (поз. III.10 и III.11) заложены RVi-2BPM-1 и RVi-2BA-1 (для настенного монтажа). Физической несовместимости нет — все модели совместимы с камерой RVi-2NCD4043. Расхождение документационное.</t>
  </si>
  <si>
    <t>Привести артикулы в спецификации в соответствие со схемой монтажа на опоре (Лист 30): поз. III.10 → RVi-2BPM-3 (4 шт.), поз. III.11 → RVi-2BA-4 (4 шт.).</t>
  </si>
  <si>
    <t>При комплектации по спецификации будут закуплены настенные кронштейны вместо опорных. Потребуется пересортица на складе и дозаказ. Монтаж на опоры не будет заблокирован, но возникнет задержка.</t>
  </si>
  <si>
    <t>Лист 16 (Эскиз ОСПД_М.1) и Лист 18 (Эскиз ОСПД_S.2)</t>
  </si>
  <si>
    <t>Ошибка в текстовом выводе мощности нагрузок (занижение на 251,5 Вт)</t>
  </si>
  <si>
    <t>Для ОСПД_М.1 сумма нагрузок в таблице = 1496,9 Вт, в тексте указано 1245,4 Вт (Δ = 251,5 Вт = 1 коммутатор DGS-1210-28P/ME). Для ОСПД_S.2 табличная сумма = 603 Вт, в тексте — 351,5 Вт (Δ = 251,5 Вт). Ошибка системная — копирование из предыдущей ревизии. ИБП в перегруз НЕ уходит: М.1 = 1497 Вт / 1800 Вт = 83%. Реальная проблема — время автономии М.1 снижается с заявленных 45 мин до ~20 мин.</t>
  </si>
  <si>
    <t>Исправить текстовые выводы мощности: ОСПД_М.1 → 1496,9 Вт, ОСПД_S.2 → 603 Вт. Пересчитать время автономии ИБП при фактических нагрузках (М.1: ~20 мин вместо 45 мин). Оценить достаточность 20 мин для штатного завершения записи.</t>
  </si>
  <si>
    <t>ИБП не перегружен (запас 17%). Но время автономии шкафа М.1 (сервер + 3 коммутатора) сокращается с 45 до ~20 минут. При длительном отключении электроснабжения сервер может не завершить корректную запись архива.</t>
  </si>
  <si>
    <t>14. 133_23-ГК-СКС (от 10.10.2025)</t>
  </si>
  <si>
    <t>Спецификация (СО Л.1-2)</t>
  </si>
  <si>
    <t>Конфликт экранирования (UTP vs FTP)</t>
  </si>
  <si>
    <t>В спецификации заложен неэкранированный кабель U/UTP Cat5e ZH нг(А)-HF 4×2×0,52, однако настенные розетки CS2-1C5EF-12 и CS2-1C5EF-22 относятся к экранированному типу FTP. Экран розетки без экрана в кабеле не выполняет свою функцию и нарушает принцип единообразия компонентов СКС (ГОСТ Р 53246-2008 п.5.2).</t>
  </si>
  <si>
    <t>Необоснованная переплата за более дорогие экранированные розетки. Потенциальные проблемы при сертификации канала.</t>
  </si>
  <si>
    <t>Кабельный журнал (Л.17), Структурная схема (Л.9), Спецификация (Л.19)</t>
  </si>
  <si>
    <t>Физическая нехватка розеток (рабочих мест)</t>
  </si>
  <si>
    <t>Согласно структурной схеме и КЖ, на объекте требуется установить 4 однопортовых розетки (Е1) и 5 двухпортовых (Е2), включая розетку 1/E2.1 для места консьержа на 1-м этаже (кабели K1.RE13 и K1.RE14). В Спецификации заложено 4 шт. однопортовых и всего 4 шт. двухпортовых розеток. Не учтена одна двухпортовая розетка.</t>
  </si>
  <si>
    <t>Добавить в спецификацию 1 шт. двухпортовой розетки (CS2-1C5EF-22) для рабочего места консьержа.</t>
  </si>
  <si>
    <t>Кабели K1.RE13 и K1.RE14 придут на 1-й этаж, но их физически некуда будет смонтировать и расшить. Срыв сдачи рабочего места консьержа.</t>
  </si>
  <si>
    <t>Спецификация (СО Л.2), Схема расшивки (Л.17)</t>
  </si>
  <si>
    <t>Нехватка резерва и неясные границы по патч-кордам</t>
  </si>
  <si>
    <t>На шкафной стороне 17 портов коммутации обеспечены ровно 17 патч-кордами (16 шт. × 0,3 м + 1 шт. × 5,0 м). Оперативный резерв для шкафа — 0 шт. Абонентские патч-корды для 14 рабочих мест не заложены. Не определены границы ответственности: поставляются ли шнуры для ПК в рамках данного проекта или силами Заказчика.</t>
  </si>
  <si>
    <t>1. Добавить в спецификацию 3-5 резервных патч-кордов 0,3 м для кроссовой. 
 2. Добавить 14 абонентских патч-кордов (1,5-3,0 м) для рабочих мест ИЛИ добавить в Общие указания примечание: «Абонентские патч-корды поставляются Заказчиком».</t>
  </si>
  <si>
    <t>Срыв пусконаладочных работ, невозможность оперативной замены поврежденного шнура в шкафу, конфликт с заказчиком на этапе сдачи рабочих мест из-за нехватки кабелей.</t>
  </si>
  <si>
    <t>Отсутствие заземления шкафов</t>
  </si>
  <si>
    <t>В спецификации СКС не заложены 19" медные шины заземления и провода ПуГВ 1×4 мм² для контура заземления шкафа ОСПД_М.1. В смежном разделе СОТ эти элементы также отсутствуют. Нарушение ПУЭ п.1.7.76 и ГОСТ Р 53246-2008 п.7.8.</t>
  </si>
  <si>
    <t>Добавить в спецификацию: шину заземления 19" (1 шт.), провод ПуГВ 1×4 мм² жёлто-зелёный (5 м), наконечники кольцевые, болты заземления М6.</t>
  </si>
  <si>
    <t>Нарушение ПУЭ, накопление статического электричества, риск поражения персонала, выход из строя портов коммутатора при разряде.</t>
  </si>
  <si>
    <t>(ОВ) Отопление и вентиляция</t>
  </si>
  <si>
    <t>133_23-ГК-ОВ1.1 (от 22.12.2025)</t>
  </si>
  <si>
    <t>Листы 5, 9</t>
  </si>
  <si>
    <t>Расхождение Q П1а на схемах (185 170 Вт) и в таблице нагрузок (162 820 Вт)</t>
  </si>
  <si>
    <t>На схемах листов 5 и 9: Q П1а=185 170 Вт. Таблица основных показателей (Лист 1): T13/T23=0,14 Гкал/ч=162 820 Вт. По расходу G=1,564 л/с при ΔT=25°C: Q≈163 700 Вт. Расхождение +22 350 Вт (+13,7%). П1а — единственная установка в T13/T23. Подтверждено тремя независимыми источниками. Нарушение: СП 60.13330.2020, п. 6.2 (единство параметров в проекте).</t>
  </si>
  <si>
    <t>Проверить Q П1а по паспортным данным приточной установки. Привести к единому значению в таблице нагрузок, на схемах и в опросных листах. Основание: СП 60.13330.2020, п. 6.2.</t>
  </si>
  <si>
    <t>Некорректный подбор теплообменника в ИТП и регулирующей арматуры П1а. Завышение/занижение тепловой нагрузки контура T13/T23 на 13,7%.</t>
  </si>
  <si>
    <t>Лист 9</t>
  </si>
  <si>
    <t>Ошибочная маркировка «T12 2» вместо «T13» на подающем трубопроводе Ø76×3,5</t>
  </si>
  <si>
    <t>Подающий Ø76×3,5 системы T13/T23 (G=1,564 л/с) обозначен «T12 2» на Листе 9. T12/T22=DN25, G=0,133 л/с — несовместимо с Ø76×3,5. Рядом T23 (обратная) — пары T12/T23 в проекте не существует. PDF векторный (CAD-экспорт) — ошибка внесена проектировщиком. На Листе 4 все Ø76×3,5 корректно подписаны T13. Нарушение: ГОСТ 21.602-2016, п. 4.9 (маркировка систем на чертежах).</t>
  </si>
  <si>
    <t>Исправить «T12 2» → «T13» (или «T13.2» для второй ветки) на Листе 9. Основание: ГОСТ 21.602-2016, п. 4.9.</t>
  </si>
  <si>
    <t>Ошибочное подключение Ø76×3,5 к системе отопления павильонов (T12) вместо теплоснабжения вентиляции (T13). Риск перепутать системы при монтаже.</t>
  </si>
  <si>
    <t>СО Лист 4 (спецификация)</t>
  </si>
  <si>
    <t>Неверный ГОСТ для 4 позиций электросварных труб: ГОСТ 3262-75 вместо ГОСТ 10704-91</t>
  </si>
  <si>
    <t>4 строки спецификации «Трубы стальные электросварные прямошовные» ссылаются на ГОСТ 3262-75: Ø57×3,5 (134,4+0,5 м), Ø76×3,5 (159,3 м), Ø108×4,0 (73 м). Итого ~368 м труб. Общие данные Лист 1: «электросварные по ГОСТ 10704-91 при Ду≥50 мм». Ø57×3,5 и Ø108×4,0 отсутствуют в сортаменте ГОСТ 3262-75 вообще (там Ø60,0 и Ø114,0). Противоречие в одной строке: название «электросварные» + ссылка на ГОСТ водогазопроводных.</t>
  </si>
  <si>
    <t>Исправить для всех 4 позиций: ГОСТ 3262-75 → ГОСТ 10704-91. Основание: ГОСТ 10704-91 (сортамент электросварных труб); Общие данные проекта Лист 1 (прямое требование проектировщика).</t>
  </si>
  <si>
    <t>Поставка труб неверного стандарта. Ø57 и Ø108 не изготавливаются по ГОСТ 3262-75 — поставщик откажет или поставит другой диаметр.</t>
  </si>
  <si>
    <t>Лист 1 / Таблица систем</t>
  </si>
  <si>
    <t>Расход теплоты КЭВ-16M3W1 в таблице 6 150 Вт ≠ паспортным 8 100 Вт при проектном режиме 95/70°C</t>
  </si>
  <si>
    <t>Таблица характеристик систем (Лист 1), столбец «Расход теплоты, Вт»: КЭВ-16M3W1=6 150 Вт. Паспорт Тепломаш при 95/70°C, воздух +15°C: Q=8 100 Вт (ΔT воздуха=17°C). При проектных +5°C: Q≈8 500–9 000 Вт. 6 150 Вт соответствует режиму ~80/60°C, не проектному 95/70°C. 10×6 150=61,5 кВт &lt; 65,1 кВт (тепловые потери автостоянки) → дефицит 3,6 кВт. Примечание: 6,15 в спецификации СО = МАССА (кг) агрегата, а не мощность. Нарушение: СП 60.13330.2020, п. 6.3 (соответствие параметров оборудования проектным режимам).</t>
  </si>
  <si>
    <t>Внести в таблицу систем рабочую мощность при 95/70°C (≈8 100–8 500 Вт по паспорту производителя Тепломаш). Основание: СП 60.13330.2020, п. 6.3; паспорт КЭВ-16M3W1.</t>
  </si>
  <si>
    <t>Занижение нагрузки ИТП на контур T16/T26. Дефицит 3,6 кВт при расчётной температуре -26°C — риск недостаточного прогрева автостоянки.</t>
  </si>
  <si>
    <t>Листы 8-9 / ОЛ Лист 4</t>
  </si>
  <si>
    <t>Смесительный узел КЭВ-УТМ-6,3Н подобран под расход 0,36 л/с (95/55°C), трубопровод — под 0,514 л/с (95/70°C)</t>
  </si>
  <si>
    <t>Проект T13/T23: G=0,514 л/с на завесу, 95/70°C (из таблицы G=1,027/2). ОЛ Тепломаша (ОЛ Лист 4): Прямая 95°C, Обратная 55°C, G=0,36 л/с. Верификация расходом: G=0,36 л/с → ΔT=35,5°C → обратная ~60°C (не 55 и не 70°C). G=0,514 л/с → ΔT=24,9°C → обратная 70°C. Расхождение 43%. Kvs=6,3 пропускает оба расхода (потери давления в норме). Паспорт КЭВ-130: Q=71,8 кВт при 95/70°C &gt; 53,5 кВт требуемых — завеса справляется. Нарушение: СП 60.13330.2020, п. 6.5 (согласованность параметров оборудования).</t>
  </si>
  <si>
    <t>Согласовать режим работы завесы ВТЗ с Тепломашем. При пусконаладке настроить байпас ВБ по фактическому расходу системы (0,514 л/с), не по ОЛ (0,36 л/с). Основание: СП 60.13330.2020, п. 6.5; паспорт КЭВ-УТМ-6,3Н.</t>
  </si>
  <si>
    <t>Некорректная настройка байпаса ВБ: при заниженном байпасе — риск замерзания теплообменника завесы в межсезонье при закрытом основном клапане.</t>
  </si>
  <si>
    <t>СО Лист 6 / Итоги</t>
  </si>
  <si>
    <t>Тепловые потери трубопроводов 2 577,7 Вт = 10% от номинальной мощности приборов</t>
  </si>
  <si>
    <t>В спецификации СО Лист 6: расчётная мощность приборов 25 777 Вт, номинальная 25 842 Вт, теплопотери трубопроводов 2 577,7 Вт (10,0%). Рекомендуемый уровень для нормально изолированных систем — 5–7% (инженерное правило, не прямое требование СП 61). Корректная ссылка: СП 61.13330.2012, Прил. Б (расчёт толщины изоляции).</t>
  </si>
  <si>
    <t>Проверить трассировку и толщину изоляции трубопроводов. При обоснованности значения (длинные трассы в неотапливаемых зонах) — указать обоснование в пояснительной записке. Основание: СП 61.13330.2012, Прил. Б.</t>
  </si>
  <si>
    <t>Перерасход тепловой энергии ~3% сверх нормы; увеличение эксплуатационных затрат на отопление подземной части.</t>
  </si>
  <si>
    <t>Лист 8 / Таблица T16/T26</t>
  </si>
  <si>
    <t>Три несогласованных значения расхода АОВ: 0,600 / 0,611 / 0,624 л/с</t>
  </si>
  <si>
    <t>Схема Листа 8: 10 агрегатов × 0,06 л/с = 0,600 л/с. Таблица T16/T26 Лист 1: G=0,624 л/с. По тепловой нагрузке 0,055 Гкал/ч при ΔT=25°C: G=0,611 л/с. Три разных значения в одном проекте. 0,624 л/с = 0,611 (нагрузка АОВ) + потери трубопроводов (~2%). Разница 0,60 vs 0,624 = 4%. Должно быть одно значение с пояснением. Нарушение: СП 60.13330.2020, разд. 6 (единство расчётных параметров).</t>
  </si>
  <si>
    <t>Привести расход к единому значению во всех источниках. Если 0,624 л/с учитывает теплопотери трубопроводов — указать это явно в таблице. Основание: СП 60.13330.2020, разд. 6.</t>
  </si>
  <si>
    <t>Некорректная настройка балансировочной арматуры при пусконаладке. Разброс 4% между источниками.</t>
  </si>
  <si>
    <t>133_23-ГК-ОВ1.2  (от 26.12.2025)</t>
  </si>
  <si>
    <t>Каталожный лист</t>
  </si>
  <si>
    <t>Температура вытяжного воздуха из рекуператора +0,8°C — риск обмерзания, меры защиты не показаны</t>
  </si>
  <si>
    <t>Температура вытяжного воздуха на выходе из пластинчатого рекуператора +0,8°C при расчётном режиме (-26°C). Запас по условию незамерзания — всего 0,8°C. На схеме обвязки отсутствуют: байпасный клапан рекуператора, система предварительного подогрева наружного воздуха. Датчик защиты от замерзания относится к водяному нагревателю, не к рекуператору. Норма: СП 60.13330.2020 (действует), п. 7.2.8.</t>
  </si>
  <si>
    <t>Предусмотреть защиту рекуператора от обмерзания: байпасный клапан, датчик обледенения вытяжного канала, или предварительный подогрев наружного воздуха.</t>
  </si>
  <si>
    <t>Обмерзание пластин рекуператора при температурах ниже расчётной, выход оборудования из строя.</t>
  </si>
  <si>
    <t>Лист 16</t>
  </si>
  <si>
    <t>Марка огнестойкого заполнения зазора труба/гильза не определена — «марка уточняется индивидуально»</t>
  </si>
  <si>
    <t>В узле пересечения перекрытия указано «специальная противопожарная пена, минераловатные материалы» без конкретной марки. В схеме крепления стояка — «негорючая эластичная заделка — марка уточняется индивидуально». РД должна содержать конкретную марку сертифицированного материала с огнестойкостью не ниже огнестойкости перекрытия. Норма: СП 4.13130.2013 (действует), п. 7.4; СП 73.13330.2016 (действует), п. 4.7.</t>
  </si>
  <si>
    <t>Указать конкретную марку огнезащитного материала (например, ОГ-20 — как указано на узле прохода стены) с огнестойкостью не ниже REI перекрытия.</t>
  </si>
  <si>
    <t>Подрядчик применит несертифицированный материал, нарушение огнестойкости перекрытий.</t>
  </si>
  <si>
    <t>Лист 15</t>
  </si>
  <si>
    <t>Толщина изоляции трубопроводов Т15/Т25 — 25 мм при нормативном минимуме 30-40 мм</t>
  </si>
  <si>
    <t>Для трубопроводов теплоснабжения Т15/Т25 Ø20×2,8 при прокладке в техподполье принята изоляция цилиндрами кашированными 25,0 мм. По СП 61.13330 для подающих трубопроводов Ø≤25 мм при температуре 70-150°C минимальная толщина — 30-40 мм. Норма: СП 61.13330.2022 (действует), Приложение А.</t>
  </si>
  <si>
    <t>Проверить по расчёту теплопотерь. При подтверждении несоответствия — увеличить толщину изоляции до нормативной.</t>
  </si>
  <si>
    <t>Повышенные теплопотери трубопроводов, неэффективное теплоснабжение павильонов.</t>
  </si>
  <si>
    <t xml:space="preserve"> 133/23-ГК-ОВ2.1 (от 22.12.2025)</t>
  </si>
  <si>
    <t>Лист 2</t>
  </si>
  <si>
    <t>Некорректная мощность нагревателя ДП16 в таблице характеристик систем</t>
  </si>
  <si>
    <t>В таблице характеристик систем (лист 2) мощность электронагревателя системы ДП16 указана как 0,12+8,0 кВт. Фактическая мощность нагревателя по его марке KPH-E-50×30/7.5 составляет 7,5 кВт, что подтверждается: спецификацией (СО лист 14-15) — «Нэл=7,5 кВт, U=380 В, 3-фазный»; чертежом (лист 10) — «KPH-E-50×30/7.5»; комплектацией VENTZ — «KPH-E-500×300/7,5-380-У2».
 Значение 8,0 кВт в таблице характеристик не соответствует марке применённого оборудования. Расчётная потребность: Q = G×ρ×Cp×ΔT = (420/3600)×1,2×1,005×44 ≈ 6,2 кВт — нагреватель 7,5 кВт обеспечивает запас ~21%.</t>
  </si>
  <si>
    <t>Исправить значение мощности в таблице характеристик систем (лист 2): заменить «0,12+8,0» на «0,12+7,5» в соответствии с маркой нагревателя KPH-E-50×30/7.5.</t>
  </si>
  <si>
    <t>Расхождение мощности в таблице характеристик с фактической маркой оборудования. Может привести к ошибкам при проверке нагрузок раздела ЭОМ и при закупке.</t>
  </si>
  <si>
    <t>133/23-ГК-ОВ3 (от 11.02.2026)</t>
  </si>
  <si>
    <t>Листы 20, 21</t>
  </si>
  <si>
    <t>Ошибки маркировки трубопроводов на аксонометрических схемах К3.7 и К6.9</t>
  </si>
  <si>
    <t>1) На аксонометрической схеме системы К3.7 (лист 20) маркировки трубопроводов указаны как «К2.7.1» и «К2.7.2» вместо «К3.7.1» и «К3.7.2» — ошибка копирования с системы К2.7.
 2) На аксонометрической схеме системы К6.9 (лист 21) наружный блок подписан «К6.9.1, К6.9.1» вместо «К6.9.1, К6.9.2» — дублирование номера.</t>
  </si>
  <si>
    <t>1) Исправить маркировку на схеме К3.7: заменить «К2.7.1» на «К3.7.1» и «К2.7.2» на «К3.7.2».
 2) Исправить маркировку на схеме К6.9: заменить второй «К6.9.1» на «К6.9.2».</t>
  </si>
  <si>
    <t>Ошибочный монтаж — подключение фреонопроводов к наружному блоку другой системы. Перекрёстное подключение систем разных этажей.</t>
  </si>
  <si>
    <t>Листы 2, 3 (спецификация)</t>
  </si>
  <si>
    <t>Применение рефнетов Mitsubishi Heavy Industries с оборудованием LG</t>
  </si>
  <si>
    <t>В спецификации для систем К1.7, К1.8, К1.8р, К1.9 (вестибюль и помещения -1 этажа) указан рефнет-разветвитель DIS-22-1G производства Mitsubishi Heavy Industries (7 шт.). При этом все наружные и внутренние блоки — производства LG. Применение комплектующих стороннего производителя может привести к потере гарантийных обязательств LG.</t>
  </si>
  <si>
    <t>Заменить рефнеты DIS-22-1G (Mitsubishi Heavy Industries) на оригинальные рефнеты LG серии ARBLN для систем К1.7, К1.8, К1.8р, К1.9.</t>
  </si>
  <si>
    <t>Риск потери гарантийных обязательств LG на оборудование общедомовых систем (вестибюль, операторная, кроссовая). Возможные ограничения при гарантийном обслуживании.</t>
  </si>
  <si>
    <t>Общестрой</t>
  </si>
  <si>
    <t>133/23-ГК-АР5 (от 26.01.26)</t>
  </si>
  <si>
    <t>133/23-ГК-АИ1 (от 30.01.26)</t>
  </si>
  <si>
    <t>СС</t>
  </si>
  <si>
    <t>133/23-ГК-АР1 (от 10.03.26)</t>
  </si>
  <si>
    <t>АР1, л. 7</t>
  </si>
  <si>
    <t>Ширина проступи лестницы Л-3 = 220 мм 
нарушение СП 1.13130.2020 п.4.4.3
ширина проступи - как правило, не менее 25 см
Отказ в приемки инспектором</t>
  </si>
  <si>
    <t>Двери</t>
  </si>
  <si>
    <t>Дверь ДВ12.4Л с EI30 выявлена в спецификациях обоих подземных этажей, на разрезе 3-3 л.5 и в тамбуре Л-3 л.7. Соседние двери в тамбурах имеют EIS60. Для дверей, разделяющих автостоянку от лестничных клеток, нормативно может требоваться EI60/EIS60.</t>
  </si>
  <si>
    <t>133/23-ГК-АР2 (от 10.03.26)</t>
  </si>
  <si>
    <t>133/23-ГК-АР3 (от 10.03.26)</t>
  </si>
  <si>
    <t>133/23-ГК-АР4 (от 10.03.26)</t>
  </si>
  <si>
    <t>В таблице «Сводная спецификация перемычек раздела 133/23-ГК-АР4» для марки С3-31 указано количество — 14 шт. Однако в расположенной справа таблице «Сводная спецификация элементов перемычек раздела АР4» данные для этой же марки рассчитаны на 15 шт. Согласно спецификации элементов, итоговая масса для С3-31 составляет 399,495 кг. При массе единицы изделия 26,633 кг получаем: 399,495 / 26,633 = 15 шт.</t>
  </si>
  <si>
    <t>1141-КИС-РД-М-АИ-П (от 19.03.26)</t>
  </si>
  <si>
    <t>На чертеже ДВ12.5Л/П-1 она же в спецификакации ДВ12.5Л-1 и ДВ12.5П-1. На  чертеже Высота полотна — 2300 мм, высота проёма 2380 мм. В спецификации для ДВ12-5П-1: полотно 2325 мм, проём 2400 мм. Расхождение: полотно −25 мм, проём −20 мм.</t>
  </si>
  <si>
    <t>Кнопка выхода установлена на Нуст=1300 мм. На -1 этаже присутствует тамбур-шлюз ПБЗ на плане под номером 2 — зона доступности МГН.</t>
  </si>
  <si>
    <t>Кнопка выхода,согласно спецификации  системы контроля управления доступом установлена на Нуст=1300 мм. На -1 этаже присутствует тамбур-шлюз ПБЗ — зона доступности МГН. По требованиям СП 59.13330.2020 кнопки, ручки в зонах МГН должны располагаться на высоте не более 1100 мм от уровня пола. Высота 1300 мм нарушает требования доступности.
cогласно  СП 59.13330.2020 пункту 6.4.2, максимальная высота для кнопок составляет 1,1 метра.</t>
  </si>
  <si>
    <t>Внести корректировки в проектную документацию.
Синхронизировать данные в Спецификации и в примечание п.10 на л.9</t>
  </si>
  <si>
    <t>На узле одностворчатой противопожарной двери ДВ19Л/П-1 (строит. проем 950 мм, Лист 4) ширина полотна составляет 800 мм.</t>
  </si>
  <si>
    <t>На узле одностворчатой противопожарной двери ДВ19Л/П-1 (строит. проем 950 мм, Лист 4) ширина полотна составляет 800 мм. В спецификации тип с аналогичной шириной строит. проема — ДВ19П-1 (950×2400), в которой ширина полотна указана 750 мм. Расхождение — 50 мм. Несоответствие параметров узла и спецификации</t>
  </si>
  <si>
    <t>Для пола НП5.1 на площадках лестничной клетки л.6 оси Д-Г (путь эвакуации) применяется керамогранит Atlas Concorde Boost Icor Dust Matte Sensitech, однако в чертеже не указаны показатели противоскольжения,</t>
  </si>
  <si>
    <t>Указать показатели противоскольжения,
Согласно СП 29.13330.2011 п.4.2</t>
  </si>
  <si>
    <t>Проблемы при эксплуатации объекта
Замечания со стороны органов государственного строительного надзора (ГСН) при проверке соответствия путей эвакуации требованиям безопасности.</t>
  </si>
  <si>
    <t>На узле наружного стыка керамогранита (Узел 4, стык 45°) отсутствует защита наружного угла — не предусмотрен угловой металлический профиль (нержавеющая сталь или алюминий). Стык двух плит, подрезанных под 45° без защитного профиля, уязвим к ударным нагрузкам — возможно скалывание тонкого края плитки.
А также такое решение противоречит ФЗ-384 ст. 7</t>
  </si>
  <si>
    <t>Пересмотреть конструктивное решение Узла 4. Предусмотреть установку защитного углового профиля из нержавеющей стали или анодированного алюминия (например, Г-образного или скругленного типа).</t>
  </si>
  <si>
    <t>Заменить переменную «а» на конкретное числовое значение (в мм), согласованное с габаритами оборудования</t>
  </si>
  <si>
    <t>Дополнить выноску на Узле 4 (лист 12.1) указанием марки стали для трубы 50х50х3 мм.</t>
  </si>
  <si>
    <t>В узле примыкания перегородки (Узел 2) не показана демпферная/уплотнительная лента между стоечным профилем ПС и существующей стеной. Для обеспечения звукоизоляции и компенсации температурных деформаций монтаж каркасных перегородок рекомендуется выполнять с прокладкой уплотнительной ленты по всем примыкающим поверхностям.согласно серии 1.073.9-2.08 п.7.1
а также СП-163.1325800.2014 п.7.1.2.5 Рисунок 2*</t>
  </si>
  <si>
    <t>Привести Узел 2 в соответствие с Узлом 1: графически отобразить слой уплотнительной ленты между профилем ПС и стеной и добавить соответствующую текстовую выноску.</t>
  </si>
  <si>
    <t xml:space="preserve">Дверь ДВ18П-1 имеет ширину проёма в свету 750 мм.
</t>
  </si>
  <si>
    <t>Дверь ДВ18П-1 имеет ширину проёма в свету 750 мм. На данном этаже (-2, паркинг) предусмотрена зона МГН  лист 20(ОСИ П/10-П/11 и П\Е П\Д — оповещатель «Безопасная зона МГН», считыватель СКУД). Если данная дверь находится на маршруте движения МГН, ширина 760 мм не соответствует требуемым не менее 900 мм в свету.СП 59-13330-2020 п.6.1.5,Ширина дверных проёмов в свету на путях движения МГН должна быть не менее 0,9 м</t>
  </si>
  <si>
    <t>Увеличить ширину строительного проема двери ДВ18П-1</t>
  </si>
  <si>
    <t>1141-КИС-РД-М-АИ-П01 (от 13.03.26)</t>
  </si>
  <si>
    <t>- Дополнить спецификацию на листе 6 четким указанием требуемого класса пожарной опасности (КМ) для потолков П6 и П13 в соответствии с утвержденным разделом 9 «Мероприятия по обеспечению пожарной безопасности» (или СТУ).
- Шпонированные панели П6, П13 должны быть выполнены на основе огнестойкого материала, обеспечивающими класс пожарной опасности не ниже требуемого (например, КМ1/КМ2).</t>
  </si>
  <si>
    <t xml:space="preserve"> Узле 7 (наружный стык керамогранита) показана стыковка стеновых плит, запиленных под углом 45° (заусовка). Данное решение массово применяется в мокрых зонах павильона (санузлы, раздевалки с душевыми — марка отделки стен О-3). Однако на чертеже полностью отсутствуют указания по устройству технологического зазора и материалу заполнения шва.
Не предусмотрено заполнение швов влагостойкими составами. Сведение торцов керамогранита «в ноль» без эластичного или высокопрочного заполнения (эпоксидной затирки) в общественных зданиях является грубой технологической ошибкой, создающей зону концентрации напряжений на хрупкой кромке материала.</t>
  </si>
  <si>
    <t>На Листе 11.01 представлен план лестничной клетки (эвакуационный выход из подземной автостоянки через общественное здание Павильона №1). Общая ширина лестничной клетки в осях стен составляет 2910 мм. С учетом зазора между маршами и выступающих элементов ограждений (поручней, отнесенных от стены и стоек), фактическая расчетная ширина марша «в свету» (между поручнями) составляет 1000 мм.
- Нарушение СП 59.13330.2020 п. 6.2.24, СП 1.13130.2020 (требования к эвакуационным путям общественных зданий)</t>
  </si>
  <si>
    <t>1141-КИС-РД-М-АИ-П02 (от 13.03.26)</t>
  </si>
  <si>
    <t>087-РД-АР (МАФ) (12.25)</t>
  </si>
  <si>
    <t>Заменить розетки на тип UTP (CS2-1C5EU-12/22) для удешевления сметы Привести систему к единому стандарту.</t>
  </si>
  <si>
    <t>133_23-ГК-АСУД.И (от 24.02.2026)</t>
  </si>
  <si>
    <t>Замечания СУ-10 от 04.03</t>
  </si>
  <si>
    <t>133/23-ГК-АР1 (от 01.12.25)</t>
  </si>
  <si>
    <t>АР1, лист 5, узел 1.</t>
  </si>
  <si>
    <t>Несоответствие проектной геометрии рампы (АР) технологическому требованию по проходимости автомобилей с низким клиренсом (ТХ).</t>
  </si>
  <si>
    <t>Согласно СП 113.13330.2023 (п. 5.26, подпункт «г»), сопряжение рампы с горизонтальными участками должно быть плавным, а клиренс для расчетного автомобиля должен быть не менее 0,1 м (100 мм). (в проекте менее 0,1 м)
Однако СТУ юридеически снимает претензию по нарушению СП, но для автомобилей с длинной колесной базой (Long-версии бизнес-седанов), которые являются основными потребителями данного ЖК, такая длина сопряжения при уклоне 18% является критически малой.</t>
  </si>
  <si>
    <t>Изменение геометрии АР: Если расчет покажет касание, увеличить длину переходных участков (аппарелей) до 2500–3000 мм каждый, либо заменить ступенчатый уклон на вертикальную дугу (криволинейный профиль сопряжения).</t>
  </si>
  <si>
    <t>АР 1, лист 2, лист 10, спецификация дверей</t>
  </si>
  <si>
    <t>Несоответствие предела огнестойкости противопожарной двери в помещении Насосной станции пожаротушения (нарушение требований 123-ФЗ и СП 10.13130).</t>
  </si>
  <si>
    <t>В проектной документации для двери ДВ12.4Л (вход в Насосную станцию пожаротушения, пом. №8) ошибочно принят предел огнестойкости EI 30.
- Согласно п. 12.11 СП 10.13130.2020, помещения насосных станций должны отделяться от смежных помещений противопожарными стенами 1-го типа. В соответствии с Таблицей 23 ФЗ-№123, противопожарные стены 1-го типа должны иметь заполнение проемов (двери) 1-го типа. Согласно Таблице 24 ФЗ-№123, противопожарные двери 1-го типа должны иметь предел огнестойкости не менее EI 60.</t>
  </si>
  <si>
    <t>В спецификациях на листах 2 и 10, а также на маркировочном плане -2 этажа заменить маркировку предела огнестойкости для двери ДВ12.4Л с EI 30 на EIS 60 (индекс «S» добавить обязательно, так как помещение находится в подвальном этаже и граничит с зоной хранения автомобилей). Уточнить марку двери в ведомости материалов.</t>
  </si>
  <si>
    <t>АР 1, лист 10, спецификация дверей</t>
  </si>
  <si>
    <t>Некорректное применение ГОСТ 31173-2016 к изделиям индивидуального изготовления (сетчатым дверям).</t>
  </si>
  <si>
    <t>Исключить ссылку на ГОСТ 31173-2016 для позиции ДВ35П.
Перевести изделие в разряд «Индивидуального изготовления» (чертеж марки ИНД. или ссылка на раздел КМ).</t>
  </si>
  <si>
    <t>133/23-ГК-АР2 (от 01.12.25)</t>
  </si>
  <si>
    <t>АР2, Лист 6, Узел «Верхний узел крепления кладки к ж. б. плите перекрытия» (Разрез В-В, Г-Г).</t>
  </si>
  <si>
    <t>Жесткое сопряжение отделочных слоев и крепежных элементов перегородок с плитой перекрытия.</t>
  </si>
  <si>
    <t>- В узле В-В обнаружено жёсткое примыкание ненесущей перегородки из газобетона к ж/б плите перекрытия посредством металлического уголка 75×50×5, анкеров и подливки клеевым раствором М50 с последующим сплошным оштукатуриванием без разрыва шва.
Узел не учитывает возможный прогиб перекрытия и приводит к передаче деформаций на перегородку, что может вызвать трещинообразование в кладке и отделочных слоях.
- В узле В-В предусмотрено использование клеевого раствора М50 под полкой крепежного уголка 75х50х5 и сплошное оштукатуривание (выноска «Отделочный слой») без разрыва шва.</t>
  </si>
  <si>
    <t>- Указать: «Уголок 75х50х5 устанавливать без подливки раствора, с зазором 3-5 мм до блока».
- В месте примыкания отделочного слоя к перекрытию предусмотреть дилатационный зазор (штрабу) 5 мм, заполняемый акриловым или полиуретановым герметиком (либо закрываемый потолочным плинтусом/нащельником).
- Исключить выноску «Клеевой раствор М50» из зоны деформационного шва.</t>
  </si>
  <si>
    <t>133/23-ГК-АР3 (от 10.12.25)</t>
  </si>
  <si>
    <t>АР3, лист 16, Спецификация элементов заполнения дверных проемов</t>
  </si>
  <si>
    <t>Использование неполного класса огнестойкости (отсутствие показателя теплоизоляции «I») для дверей в зонах спасения и тамбур-шлюзах.</t>
  </si>
  <si>
    <t>Согласно ст. 88 ФЗ-123 и СП 1.13130.2020, противопожарные преграды в тамбур-шлюзах и ПБЗ должны обеспечивать защиту людей от высоких температур (показатель «I» — теплоизоляция). Маркировка EWS без I допускается ГОСТом, но не удовлетворяет требованиям к безопасности именно в зонах эвакуации и спасения МГН.</t>
  </si>
  <si>
    <t>Изменить проектное требование для дверей ДВТ-2Л/П с EWS60 на EIWS60. Для дверей с остеклением более 25% необходимо запросить подтверждение сертификата на соответствие именно комплексному показателю EIWS.</t>
  </si>
  <si>
    <t>Нарушение требований к запорным устройствам на путях эвакуации (отсутствие систем «Антипаника» и применение цилиндрических механизмов).</t>
  </si>
  <si>
    <t xml:space="preserve">Для основных эвакуационных дверей (выходы в лестничные клетки, лифтовые холлы и пожаробезопасные зоны) указано: «с цилиндрическим замком». Использование замков такого типа на путях эвакуации недопустимо, так как они подразумевают использование ключа или вращение «вертушки» (завертки), что требует времени и развитой мелкой моторики. Согласно СП 1.13130.2020 (п. 4.2.22), двери эвакуационных выходов должны открываться свободно. </t>
  </si>
  <si>
    <t>В спецификации на Листе 16 и в ведомостях заполнения проемов заменить формулировку «с цилиндрическим замком» на: «Оборудовать устройством экстренного открывания дверей "Антипаника" по ГОСТ 31471 (тип — нажимная штанга)». Для дверей, ведущих в ПБЗ и лифтовые холлы, предусмотреть установку фурнитуры, не требующей использования ключа с внутренней стороны (со стороны эвакуирующихся).</t>
  </si>
  <si>
    <t>АР 3, лист 18 Ведомость типов отделки стен</t>
  </si>
  <si>
    <t>Несоответствие межквартирных перегородок требованиям СП 51.13330.2011 по индексу изоляции воздушного шума (Rw)</t>
  </si>
  <si>
    <t>Согласно акустическим расчетам, газобетон плотностью D600 толщиной 200 мм с двухсторонней штукатуркой (Тип 7, 20+20 мм) обеспечивает индекс Rw в пределах 47–49 дБ.</t>
  </si>
  <si>
    <t>Не меняя кладочный план, предусмотреть со стороны квартиры (или коридора) дополнительную звукоизоляционную облицовку.</t>
  </si>
  <si>
    <t>133/23-ГК-АР4 (от 10.12.25)</t>
  </si>
  <si>
    <t>АР 4 лист 5, спецификация перемычек, лист 12</t>
  </si>
  <si>
    <t>Недостаточная жесткость и несущая способность металлических перемычек на пролетах свыше 2.5 метров.</t>
  </si>
  <si>
    <t>Для перекрытия проемов шириной 2.6–2.8 м (в свету) проектировщиком назначено сечение из стального уголка 50х5 мм. Согласно СП 16.13330.2017 «Стальные конструкции», элементы должны рассчитываться по прогибам. Момент инерции уголка 50х5 не позволяет обеспечить требуемую жесткость на таком плече.</t>
  </si>
  <si>
    <t>Пересчитать сечение: Для пролетов более 2.5 м заменить уголок 50х5 на швеллер (не ниже 14П по ГОСТ 8240-97) или уголок не менее 100х100х7 мм.</t>
  </si>
  <si>
    <t xml:space="preserve"> Раздел АР5, Лист 12 (Сводная спецификация типов кровли), Лист 11.2 (Узел Б, Узел М), Листы 4, 5 (Планы разуклонки).</t>
  </si>
  <si>
    <t>133/23-ГК-АР6 (от 15.07.25)</t>
  </si>
  <si>
    <t>Лестничное ограждение</t>
  </si>
  <si>
    <t>Раздел АР6, Лист 4, 3д-вид крепления поручня на ступень</t>
  </si>
  <si>
    <t>Технологическая избыточность и риск повреждения дорогостоящей отделки (гранита).</t>
  </si>
  <si>
    <t>Узел предусматривает установку стальной пластины ограждения под гранитную ступень. Текст: «Монтаж ступеней с заранее подготовленными пазами».</t>
  </si>
  <si>
    <t>Упростить узел: устанавливать стойки ограждения поверх чистовой отделки (через декоративные «чашки»/крышки) либо использовать боковое крепление в торец</t>
  </si>
  <si>
    <t>АР6, Лист 4 (Спецификация элементов ограждений НЧ; Схема крепления поручней ОГ-16, 16.1).</t>
  </si>
  <si>
    <t>Несоответствие типа и длины анкеров фактическим нагрузкам и слоям отделки.</t>
  </si>
  <si>
    <t>В спецификации для крепления основных маршевых ограждений (ОГ-13...ОГ-18) заложен «Хим. анкер + анкер-шпилька 8х105 мм». При этом на схеме крепления пристенного поручня ОГ-16 указан механический распорный «Анкер-шпилька Hilti HST M10x100». Длина крепежа в обоих случаях не учитывает толщину чистовой отделки ступеней натуральным камнем.</t>
  </si>
  <si>
    <t>- Скорректировать длину анкер-шпилек в спецификации: заложить крепеж длиной не менее 155–160 мм. Это обеспечит прохождение шпильки сквозь слой гранита и клея с сохранением нормативной глубины заделки непосредственно в несущий монолит (не менее 80 мм).
- Исключить из спецификаций механические клиновые анкеры (Hilti HST). Унифицировать крепеж всех лестничных ограждений строго под химические (инъекционные) анкеры, которые фиксируются за счет адгезии и не распирают бетон на краю марша.</t>
  </si>
  <si>
    <t>133/23-ГК-АР7 (от 11.07.25)</t>
  </si>
  <si>
    <t>Общестрой (Узлы)</t>
  </si>
  <si>
    <t xml:space="preserve">АР7, Лист 2 , «Узел заделки отверстий ОВ в плите перекрытия».
</t>
  </si>
  <si>
    <t>Жесткая заделка воздуховодов без виброизоляции.</t>
  </si>
  <si>
    <t>В узле показано заполнение зазора между плитой и воздуховодом «цементно-песчаной смесью с пластификатором» вплотную к огнезащитному мату.</t>
  </si>
  <si>
    <t>Между огнезащитным матом воздуховода и цементной заделкой предусмотреть гильзу или демпферную прокладку из мягкой базальтовой ваты. Стыки загерметизировать эластичным противопожарным герметиком.</t>
  </si>
  <si>
    <t>АИ1, Лист 43, 45, 47, 51 (Спецификации дверей).</t>
  </si>
  <si>
    <t>Нарушение требований к дымогазонепроницаемости противопожарных дверей (отсутствие порогов).</t>
  </si>
  <si>
    <t>Для противопожарных дверей (например, тип ДВ7-10, ДВ7-2Л/П, ДВ14) указано примечание «без порога». Для обеспечения предела огнестойкости по признаку «S» (дымогазонепроницаемость), требуемого для тамбур-шлюзов и лифтовых холлов, наличие притвора с уплотнением обязательно.</t>
  </si>
  <si>
    <t>Предусмотреть во всех противопожарных дверях установку автоматических «выпадающих» порогов (уплотнителей), врезанных в нижний торец полотна.</t>
  </si>
  <si>
    <t>АИ1, Лист 21-28, 93</t>
  </si>
  <si>
    <t>Ошибка в расчете толщины «пирога» пола.</t>
  </si>
  <si>
    <t>Для типа пола НП5: Керамогранит (20мм) + Клей (5мм) + Стяжка (116мм) = 141 мм. При этом в графе «Высота конструкции» указано 130 мм. Возникает перепад в 11 мм между зонами керамогранита и камня.</t>
  </si>
  <si>
    <t>Скорректировать толщину стяжки для типа НП5 до 105 мм для выхода на проектную отметку 130 мм.</t>
  </si>
  <si>
    <t>АИ1, Лист 106, Узел 1</t>
  </si>
  <si>
    <t>Риск растрескивания финишного слоя декоративной штукатурки.</t>
  </si>
  <si>
    <t>Декоративный профиль 5х5 мм устанавливается в штробу на «жидкие гвозди». При температурных расширениях металла в местах примыкания к жесткой штукатурке неизбежно возникновение волосяных трещин.</t>
  </si>
  <si>
    <t>Предусмотреть использование демпферной ленты или эластичного герметика в цвет профиля/стены в узле сопряжения «металл-штукатурка».</t>
  </si>
  <si>
    <t>133/23-ГК-АИ2 (от 05.12.25)</t>
  </si>
  <si>
    <t>АИ2, лист 17, спецификация оборудования паркинга</t>
  </si>
  <si>
    <t>Противоречие спецификаций АИ2 и ТХ.А по материалу, количеству и габаритам колесоотбойников.</t>
  </si>
  <si>
    <t>В рабочей документации на один и тот же элемент (колесоотбойник) даны две взаимоисключающие спецификации: 
- В разделе АИ2 (Марка К1): Изделие из натурального мрамора Cappuccino, длина 1800 мм, в количестве 80 шт.
- В разделе ТХ.А (Поз. 10): Промышленное «Колесоотбойное устройство» (подразумевается резина/полимер), длина 2000 мм, в количестве 128 шт. 
(В раздел ТХ.А внесено изменение по п. 1.15 "Изм. кол-во оборудования", однако по габаритам изменения не было.)</t>
  </si>
  <si>
    <t>Унифицировать материал: для премиального сегмента рекомендуется заменить мрамор на гранит (темных оттенков) или использовать высокопрочный полимер/резину по схеме 2 сегмента по 600 мм на место (как было предложено в оптимизации ТХ.А).</t>
  </si>
  <si>
    <t>АИ2, лист 17, спецификация плинтусов и напольных профилей -2 этаж</t>
  </si>
  <si>
    <t>Необоснованное использование дорогостоящих материалов в технических зонах.</t>
  </si>
  <si>
    <t>Для отделки паркинга по периметру колонн заложен плинтус ПЛ2 (Натуральный мрамор Cappuccino) в объеме 201,4 м.п.</t>
  </si>
  <si>
    <t>Заменить мраморный плинтус (ПЛ12) в зоне парковки на плинтус из керамогранита (аналог ПЛ11) или выполнить плинтус из эпоксидного состава (создание «сапожка»).</t>
  </si>
  <si>
    <t>133/23-ГК-АИ3 (от 06.10.25)</t>
  </si>
  <si>
    <t>АИ3, лист 6 Спецификация чистовой отделки стен, марка О-20, лист 12 Развертки стен фитнес-зала, лист 14-17 Задания на мебель МИ-13, МИ-15, МИ-16, МИ-17, МИ-22 (материал: МДФ со шпоном).</t>
  </si>
  <si>
    <t>Нарушение требований пожарной безопасности (ФЗ-123) при выборе материалов отделки стен и мебели в зальном помещении (Фитнес-зал, класс Ф3.6).</t>
  </si>
  <si>
    <t>- Помещение фитнес-зала (№6) относится к классу функциональной пожарной опасности Ф3.6 (ФЗ-123, ст. 32, СП 4.13130, п. 5.5.1). Согласно ФЗ-123, Таблица 29 (стр. 93), материалы отделки стен в зальных помещениях должны иметь показатель токсичности продуктов горения не выше Т2. Стандартные панели МДФ (заложенные в спецификации О-20 и мебели МИ) имеют показатель Т3 (высокоопасные), а в документации отсутствует указание на применение специального класса МДФ с огнезащитой «в массе», имеющего сертификат Т2. 
- В Узле 4 на Листе 22 предусмотрен деревянный каркас потолочной ниши. Это прямо противоречит ФЗ-123, ст. 134, ч. 5 (стр. 58): «Каркасы подвесных потолков в помещениях и на путях эвакуации следует выполнять из негорючих материалов (НГ)». Дерево является горючим материалом.</t>
  </si>
  <si>
    <t>- Дополнить спецификацию на Листе 6 требованием о предоставлении сертификата соответствия материалов отделки зала №6 показателям пожарной опасности не ниже Г2, В2, Д3, Т2 (согласно ФЗ-123, Табл. 29).
- Заменить горючую МДФ-основу панелей (О-20) и встроенной мебели на негорючую основу — ГСП (гипсостружечную плиту) или СМЛ (стекломагниевый лист).
- В Узле 4 на Листе 22 заменить деревянный каркас на металлический (оцинкованный профиль) в соответствии со ст. 134 ФЗ-123.</t>
  </si>
  <si>
    <t>АИ3, лист 7 Спецификация полов, марка НП 11.1, НП 11.3, лист 20 Узел 5</t>
  </si>
  <si>
    <t>Несоответствие коэффициента противоскольжения напольного покрытия требованиям безопасности во влажных зонах (душевых) и невозможность реализации проектного уклона.</t>
  </si>
  <si>
    <t>- Согласно предоставленной технической информации на сайте производителя, плитка серии Boost Icor Sensitech имеет показатели R10 и A+B.
- Согласно СП 29.13330.2011 «Полы», п. 5.25 (стр. 13): «Поверхность покрытий полов не должна быть скользкой. Допускаемый коэффициент трения Кдоп должен быть при перемещении в обуви [...] по влажным — не менее 0,4».
Обоснование: Для общественных душевых, где помимо воды на поверхность попадают растворы моющих средств (мыло, шампуни), показатель R10 (B) является граничным и во влажной мыльной среде падает ниже нормативного значения 0,4. Для зон непосредственного приема душа (согласно международным протоколам испытаний, на которые ориентируется производитель) требуется класс C или R11 (Grip).
- В Узле 5 на Листе 20 заложен уклон в 1° в сторону лотка. Плитка форматом 1200х600 физически не может быть уложена с таким уклоном к трапу без диагональной резки («конверта»), что создаст острые режущие кромки, недопустимые для хождения босиком, либо приведет к образованию «застойных луж» из-за перепадов уровней (уступов) на стыках.</t>
  </si>
  <si>
    <t>- В зоне душевых кабин (в границах душевых лотков) заменить керамогранит 1200х600 на мозаику из той же коллекции (множество швов между элементами мозаики создают дополнительное сопротивление скольжению).
- Либо заменить покрытие в душевых на керамогранит с поверхностью Grip (соответствующую классу R11 / Class C) в формате не более 300х300 мм для корректного формирования уклона.
- Прописать в спецификации требование: «Показатель коэффициента трения во влажном состоянии — не менее 0,4 согласно п. 5.25 СП 29.13330.2011».</t>
  </si>
  <si>
    <t>133/23-ГК-АИ4 (от 08.09.25)</t>
  </si>
  <si>
    <t>АИ4, лист 5 спецификация отделки стен
Лист 16-24 - задания на встроенную мебель</t>
  </si>
  <si>
    <t>Нарушение требований ФЗ-123 (ст. 134, Таблица 29) по показателям горючести и токсичности отделочных материалов.</t>
  </si>
  <si>
    <t>Для отделки стен и изготовления встроенной мебели в детской игровой комнате (класс Ф4.1) и зоне досуга (класс Ф3.2) заложены шпонированные панели на базе стандартного МДФ (О-25).
Согласно ФЗ-123, Таблица 29 (стр. 93), материалы отделки стен в зальных помещениях классов Ф4.1 и Ф3.2 должны иметь показатели пожарной опасности не ниже: Г1, В1, Д2, Т2.
Стандартные древесно-плитные материалы (МДФ) имеют показатель горючести Г2 или выше, что не соответствует требованию Г1, установленному законом для данных типов помещений.
В документации отсутствуют требования к специальной огнезащитной обработке МДФ для достижения показателей Г1, В1, Д2, Т2.</t>
  </si>
  <si>
    <t xml:space="preserve">- Заменить горючую МДФ-основу панелей (О-25) и встроенной мебели на негорючую основу — ГСП (гипсостружечную плиту) или СМЛ (стекломагниевый лист).
- В спецификации на Листе 5 добавить обязательное требование о соответствии материалов отделки в залах №1 и №2 показателям Г1, В1, Д2, Т2.
</t>
  </si>
  <si>
    <t>133/23-ГК-ТХ.А (от 30.04.25)</t>
  </si>
  <si>
    <t>ТХ.А стр 5, общие указания
стр 6, стр 8</t>
  </si>
  <si>
    <t>Нарушение требований СП 113.13330.2023 к минимальной высоте помещений хранения и проездов, а также функциональное ограничение доступа для расчетных типов автомобилей.</t>
  </si>
  <si>
    <t>В спецификации и на схеме расстановки знаков заложен дорожный знак 3.13 «Ограничение высоты» со значением 1,8 м. Это решение является недопустимым на основании СП 113.11330.2023 п. 5.17: "...высота  над рампами и воротами не менее 2м"</t>
  </si>
  <si>
    <t>Пересмотр габаритов: Привести высоту проезда в свету к нормативному значению — не менее 2,1 м (для обеспечения возможности проезда автомобилей «Большого» класса с учетом запаса 200 мм согласно п. 5.17).</t>
  </si>
  <si>
    <t>ТХ.А стр 5, общие указания</t>
  </si>
  <si>
    <t>Корректировка ТХ: При невозможности изменения геометрии рампы в АР (из-за ограничений монолитных конструкций), изменить «Общие указания» в ТХ.А, установив минимальный клиренс не менее 120 мм, и продублировать это ограничение на знаке 3.13 перед въездом.</t>
  </si>
  <si>
    <t>ТХ.А, стр 8, поз. 10 Спецификация СО</t>
  </si>
  <si>
    <t>В рабочей документации на один и тот же элемент (колесоотбойник) даны две взаимоисключающие спецификации: 
- В разделе АИ2 (Марка К1): Изделие из натурального мрамора Cappuccino, длина 1800 мм, в количестве 80 шт.
- В разделе ТХ.А (Поз. 10): Промышленное «Колесоотбойное устройство» (подразумевается резина/полимер), длина 2000 мм, в количестве 128 шт. (В раздел ТХ.А внесено изменение по п. 1.15 "Изм. кол-во оборудования", однако по габаритам изменения не было.</t>
  </si>
  <si>
    <t>133/23-ГК-ТХ.О (30.04.25)</t>
  </si>
  <si>
    <t>ТХ.О, лист 3 - план Павильона 2</t>
  </si>
  <si>
    <t>Отсутствие защиты углов и стен в зоне перемещения грузов.</t>
  </si>
  <si>
    <t>В Павильоне 2 указан «Подъемник 1000 кг». Предполгается перемещение тяжелых грузов/товаров к БКТ или ТБО. На плане не предусмотрена защита стен и дверных проемов (отбойники).</t>
  </si>
  <si>
    <t>Предусмотреть установку угловых демпферов или защитных полос (отбойников) на высоте 200 мм и 900 мм от пола в коридорах и у дверных проемов по пути следования грузов от подъемника.</t>
  </si>
  <si>
    <t>133/23-ГК-ГП1 (от 03.24)</t>
  </si>
  <si>
    <t>Генплан</t>
  </si>
  <si>
    <t>ГК-ГП1, Лист 2 — Экспликация зданий и сооружений.</t>
  </si>
  <si>
    <t>Несоответствие функционального назначения строений.</t>
  </si>
  <si>
    <t>В экспликации ГК-ГП1 поз. 3 указана как «Павильон общественного назначения», а поз. 4 — «Павильон административного назначения». В параллельном комплекте РД-ГП1 (Ортогональ) они названы просто «Павильон №1» и «Павильон №2».</t>
  </si>
  <si>
    <t>Унифицировать наименования зданий во всех комплектах РД (Олимпроект и Ортогональ) в строгом соответствии с положительным заключением МГЭ 77-1-1-3-082575-2023.</t>
  </si>
  <si>
    <t>087-РД-ГП1 (от 09.25)</t>
  </si>
  <si>
    <t>РД-ГП1, Лист 2 — Экспликация зданий и сооружений.</t>
  </si>
  <si>
    <t>133_23-ГК-ПБ (от 30.12.2025)</t>
  </si>
  <si>
    <t>Лист 54, Спецификации (Листы 80, 82)</t>
  </si>
  <si>
    <t>Ошибка в схеме компоновки кроссовой (Оформительская ошибка)</t>
  </si>
  <si>
    <t>По структурной схеме на объекте ровно 10 приборов R3-Рубеж-2ОП (ARK.1 – ARK.10). Спецификация на 10 шт. составлена абсолютно верно. Однако на чертеже фасада шкафа в кроссовой (лист 54) указано только 9 приборов (поз. 1).</t>
  </si>
  <si>
    <t>Добавить 1 прибор на схему размещения оборудования в кроссовой (лист 54) для полного соответствия спецификации и структурной схеме.</t>
  </si>
  <si>
    <t>Листы 65, 75, 58</t>
  </si>
  <si>
    <t>Минимальный запас сечения кабеля СОУЭ</t>
  </si>
  <si>
    <t>Согласно расчету, для наиболее удаленной линии (15 этаж) расчетное сечение составляет 0,719 мм². Проектом принят кабель 0,75 мм². Запас составляет всего 4%. Формально норма не нарушена (0,75 &gt; 0,719), но при реальном монтаже длина трассы всегда превышает проектную (спуски, обходы, запасы в коробках). Плюс при пожаре сопротивление меди растет от нагрева, что съест эти 4%.</t>
  </si>
  <si>
    <t>Для устранения риска необходимо увеличить запас минимум до 20–30%.
Вариант А: Применить кабель сечением 2x1.0 или 2x1.5 мм² вместо 2x0.75 мм².
Вариант Б: Разделить одну длинную линию (шлейф) на две более короткие, подключив их к свободным выходам прибора управления.</t>
  </si>
  <si>
    <t>Листы 38, 74, 55, 57</t>
  </si>
  <si>
    <t>Проблема с емкостью АКБ для ARK.7 (Грубая техническая ошибка)</t>
  </si>
  <si>
    <t>В расчете токопотребления для прибора ARK.7 указана требуемая емкость АКБ: 63,22 Ач.
Используемый блок питания ИВЭПР 24/2,5 выдает макс. ток 2,5А. Нагрузка забирает 2,06А. На заряд АКБ остается всего 0,44А.
Подключение емкости ~65 Ач к источнику с током 0,44А приведет к тому, что время заряда составит около 143 часов (прямое нарушение ГОСТ Р 53325-2012, где норма восстановления не более 72 ч).</t>
  </si>
  <si>
    <t>Для устранения ошибки предлагаются варианты:
1. Замена источника питания (Оптимально): Применить ИВЭПР с бóльшим током заряда (например, ИВЭПР 24/5,0 на 5А) + внешний бокс под АКБ 65 Ач.
2. Разделение питания: Добавить дополнительный ИВЭПР с АКБ и переключить на него часть модулей, разгрузив основной РБП шкафа ARK.7.</t>
  </si>
  <si>
    <t>Листы сечений лотков (5, 39 и др.)</t>
  </si>
  <si>
    <t>Нарушение топологии кольцевых линий (СП 484)</t>
  </si>
  <si>
    <t>В примечаниях верно указано требование о раздельной прокладке. Однако на графических сечениях лотков (например, СПЗ 200х50) перегородка делит лоток только на АПС+СПЗ и СОУЭ. «Уходящий» и «возвращающийся» кабели кольца АЛС физически лежат в одном отсеке лотка без разделения.</t>
  </si>
  <si>
    <t>Основной кабель кольца прокладывать в проектном лотке, а возвращающийся участок ("обратку") — в отдельной гофротрубе/трубе ПВХ по потолку/стене на расстоянии не менее 0,3 м от лотка. Добавить метраж гофротрубы и крепежа в спецификацию.</t>
  </si>
  <si>
    <t>Листы 57, 84, 87</t>
  </si>
  <si>
    <t>Критическая нехватка АКБ 40 Ач в спецификации</t>
  </si>
  <si>
    <t>По таблицам расчетов токопотребления для блоков ИВЭПР (АПС) и SPM-Box (СОУЭ) требуется следующее количество АКБ 12В 40Ач:
- Для 6 шкафов ARK: 12 шт.
- Для SPM-Box: 10 шт.
Итого по расчету нужно: 22 шт.
В сводной спецификации заложено: 6 шт. в АПС и 6 шт. в СПА (итого 12 шт.). Батареи для блоков СОУЭ "потеряны" при составлении ведомости.</t>
  </si>
  <si>
    <t>1. Актуализация спецификации: Свести воедино данные из таблиц токопотребления и спецификации. Добавить недостающие 10 шт. АКБ 12В 40Ач в раздел СОУЭ.
2. Проверка размещения: Убедиться, что для добавленных 10 мощных аккумуляторов предусмотрено место в телекоммуникационных шкафах.</t>
  </si>
  <si>
    <t>Лист 61, Спецификации</t>
  </si>
  <si>
    <t>Отсутствие силового кабеля питания</t>
  </si>
  <si>
    <t>На листе 61 в «Монтажной таблице электропитания» для запитки шкафа резервной связи ОСПИ-Тандем требуется проложить силовой кабель ППГнг(А)-FRHF 3x2.5 длиной 57 метров от ВРУ до 1-го этажа. Данного силового кабеля (и гофротрубы под него) полностью нет ни в одной из спецификаций данного комплекта ПБ.</t>
  </si>
  <si>
    <t>Уточнить наличие данного кабеля в спецификации раздела ЭОМ (Силовое электрооборудование). Если разработчики ЭОМ его не учли — внести кабель ППГнг(А)-FRHF 3x2.5 (не менее 60 м с запасом) и гофротрубу в спецификацию раздела ПБ.</t>
  </si>
  <si>
    <t>133_23-ГК-АСКУЭ (от 28.01.2026)</t>
  </si>
  <si>
    <t xml:space="preserve">
Лист 2 / 133/23-ГК-АСКУЭ
Лист 1 / 133/23-ГК-АСКУЭ
Лист 5 / 133/23-ГК-АСКУЭ</t>
  </si>
  <si>
    <t>#### 1. Коммутация и Топология (RS-485)
*   **Коробки КМ-222:** В спецификации (поз. 3.3) заложено всего **10 шт.** При этом, согласно структурной схеме и планам, система охватывает 18 уровней (от -2 до 15 этажа) и несколько электрощитовых (ВРУ, ГРЩ). На каждом жилом этаже в нише СС предусмотрена установка КМ-222. Минимально необходимое количество — не менее 22-25 шт. Это приведет к удорожанию на этапе СМР.
*   **Терминаторы:** В пояснительной записке указано требование установки согласующих резисторов в критических точках шины, однако в спецификации резисторы 120 Ом отсутствуют. Без них стабильная работа системы на длинных вертикальных магистралях невозможна.
*   **Защита:** УЗИП для интерфейса RS-485 не предусмотрены, что является риском для высотного здания при грозовых нагрузках.</t>
  </si>
  <si>
    <t xml:space="preserve">1. Дефицит коммутационных коробок (КМ-222)
Описание проблемы: В спецификации (поз. 3.3) заложено 10 шт. коробок. Однако планы этажей и структурная схема предусматривают охват 17 уровней (от -2 до 15 этажа). На каждом из 15 жилых этажей в нише СС графически указана точка ответвления через коробку. С учетом подвальных помещений и электрощитовых общее количество точек коммутации составляет не менее 22-25 шт..
2. Отсутствие согласующих резисторов (терминаторов)
Описание проблемы: В общих данных проекта указано требование об установке резисторов в критических точках шины EIA-485. Однако в спецификации оборудования и материалов данные элементы отсутствуют. Для системы с длинными вертикальными магистралями (высота здания 15 этажей) отсутствие терминаторов приведет к отражению сигналов и сбоям в передаче данных.
3. Отсутствие грозозащиты (УЗИП)
Описание проблемы: Проект высотного здания предусматривает протяженные кабельные линии RS-485, проходящие через всё здание. В схеме щита ШАСКУЭ и спецификации не предусмотрены устройства защиты от импульсных перенапряжений (УЗИП) для интерфейсных входов УСПД. Это создает критический риск выхода из строя портов контроллера "УМ-31 SMART" при грозовых нагрузках.
</t>
  </si>
  <si>
    <t>1. Дефицит коммутационных коробок (КМ-222
Путь решения: Необходимо внести изменения в спецификацию, увеличив количество коробок КМ-222 до 25 шт. (с учетом 10% запаса на замену при монтаже). Это позволит избежать остановки СМР и необходимости проведения дополнительных закупок.
2. Отсутствие согласующих резисторов (терминаторов)
Путь решения: Включить в спецификацию прецизионные резисторы номиналом 120 Ом (0.25 Вт). Количество должно соответствовать количеству конечных точек магистральных лучей (согласно кабельному журналу — минимум 4-5 шт. на лучи RS1.1–RS1.4).
3. Отсутствие грозозащиты (УЗИП)
Путь решения: Предусмотреть установку специализированных модулей УЗИП для интерфейса RS-485 (например, устанавливаемых на DIN-рейку) в шкафу ШАСКУЭ перед подключением магистральных кабелей к портам УСПД.</t>
  </si>
  <si>
    <t>Лист 3 / 133/23-ГК-АСКУЭ
Лист 1 (СО) / 133/23-ГК-АСКУЭ</t>
  </si>
  <si>
    <t>#### 2. Метрология и Узлы учета
*   **Испытательные коробки (ИПК):** Для общедомовых счетчиков (СЕ308), подключаемых через трансформаторы тока во ВРУ и ГРЩ, **обязательна** установка ИПК. В спецификации и на схемах подключения (Лист 3) они отсутствуют. Это критическое замечание, так как без ИПК невозможна поверка и замена счетчиков без отключения потребителей.
*   **Трансформаторы тока:** В спецификации отсутствуют. Вероятно, они учтены в разделе ЭОМ, но в данном проекте нет ссылки на четкое разграничение ответственности за их монтаж и подключение.</t>
  </si>
  <si>
    <t xml:space="preserve">1. Отсутствие испытательных переходных коробок (ИПК)
Описание проблемы: Согласно структурной схеме и ведомости чертежей, в проекте используются общедомовые счетчики (Wh2) моделей СЕ308 S31 и СЕ307 R34 во ВРУ и ГРЩ. Такие приборы подключаются через трансформаторы тока, что по нормам ПУЭ требует установки ИПК. В спецификации (листы 20-21) и на типовых схемах подключения (лист 7) данные изделия полностью отсутствуют.
2. Неопределенность по трансформаторам тока (ТТ)
Описание проблемы: В спецификации АСКУЭ трансформаторы тока отсутствуют. В пояснительной записке указано, что счетчики устанавливаются в панелях ВРУ, предусмотренных проектами марок 133/23-ГК-ЭМ1 и др.. Однако в текущем разделе (АСКУЭ) отсутствует четкое разграничение: кто поставляет ТТ, кто выполняет их монтаж и, главное, кто подключает вторичные цепи к интерфейсной части АСКУЭ.
</t>
  </si>
  <si>
    <t>1. Отсутствие испытательных переходных коробок (ИПК)
Путь решения: Внести в спецификацию ИПК (10-полюсные) в количестве 7 шт. (согласно количеству общедомовых точек учета на схеме). Схемы подключения на листе 3 необходимо дополнить графическим изображением ИПК между трансформаторами тока и счетчиком.
2. Неопределенность по трансформаторам тока (ТТ)
Путь решения: Добавить в «Общие данные» (лист 5) пункт о разграничении зон ответственности. В спецификацию (поз. 2) или примечания внести технические требования к ТТ (класс точности не ниже 0.5S). Если поставка ТТ лежит на подрядчике ЭОМ, необходимо добавить ссылку на соответствующий лист проекта марки ЭОМ.
 Резюме для реализации
Без установки ИПК проект не пройдет проверку инспектором «Мосэнергосбыта», а отсутствие ТТ в закупках или четкого указания на их наличие в смежных разделах приведет к невозможности физического подключения узлов общего учета.
Рекомендация: Направить данные замечания в ООО «Олимппроект» для внесения ИПК в спецификацию и уточнения ведомости разграничения по трансформаторам тока.</t>
  </si>
  <si>
    <t>Лист 1 (СО)/133/23-ГК-АСКУЭ.СО** (Спецификация, поз. 1.6, 1.7) — заложен ИБП SKAT-UPS 500/300 и АКБ Delta DTM 1207.
Лист 5/133/23-ГК-АСКУЭ** (Схема принципиальная ШАСКУЭ) — графическое отображение подключения ИБП к контроллеру.
Лист 1/133/23-ГК-АСКУЭ** (Общие данные, раздел 3) — указано место установки (пом. 6).
Лист 8/133/23-ГК-АСКУЭ** (План расположения оборудования. -1 этаж) — фактическое расположение шкафа на плане.
Лист 1/133/23-ГК-АСКУЭ** (Общие данные, раздел 5) — требование по температуре монтажа не менее +10°C.
Лист 6/133/23-ГК-АСКУЭ** (Щит ШАСКУЭ. Эскизный чертеж) — в составе щита отсутствуют нагревательные элементы.</t>
  </si>
  <si>
    <t>#### 3. Питание и Живучесть
*   **Резервирование:** В спецификации корректно подобраны ИБП SKAT и АКБ Delta 7Ач. Этого достаточно для автономной работы УСПД при пропадании питания.
*   **Температурный режим:** Шкаф ШАСКУЭ расположен в кроссовой на -1 этаже. Спецификацией не предусмотрен обогрев, что допустимо только при условии поддержания в помещении температуры выше +10°C.</t>
  </si>
  <si>
    <t xml:space="preserve">1. Резервирование и автономная работа
Описание ситуации: В спецификации (лист 20) и на схеме щита ШАСКУЭ (лист 9) указаны источник бесперебойного питания SKAT-UPS 500/300 DIN и аккумуляторная батарея Delta DTM 1207 (12В, 7Ач).
Технический вывод: Подбор оборудования выполнен корректно. Данного комплекта достаточно для поддержания работоспособности УСПД УМ-31 SMART в течение нескольких часов при отключении основного ввода, что соответствует целям системы.
2. Температурный режим и риск конденсата
Описание проблемы: Шкаф ШАСКУЭ устанавливается в помещении кроссовой (пом. 6) на -1 этаже. Согласно общим указаниям (лист 5), монтаж кабелей должен производиться при температуре не менее +10°C. Однако спецификация (листы 20-21) не содержит элементов терморегуляции (нагревателя и термостата).
</t>
  </si>
  <si>
    <t>1. Резервирование и автономная работа
Путь решения: Изменения не требуются. Рекомендуется при пусконаладке проверить фактическое время автономной работы при максимальной нагрузке (опрос всех счетчиков через GSM-канал).
2. Температурный режим и риск конденсата
Путь решения:
Запрос уточнения: Запросить у проектировщиков раздела ОВ подтверждение, что в пом. 6 на -1 этаже гарантированно поддерживается круглогодичная температура не ниже +10°C.
Дооснащение: Если температурный режим не гарантирован, необходимо добавить в спецификацию щита ШАСКУЭ позисторный нагреватель (на 15-30 Вт) и термостат для предотвращения образования точки росы внутри шкафа.
Резюме для реализации
Система резервного питания спроектирована надежно, но уязвима к внешним факторам среды подвального помещения. Основной риск — отсутствие контроля микроклимата внутри шкафа.
Рекомендация: Учитывая статус объекта (ЖК), для обеспечения бесперебойности лучше превентивно добавить в смету комплект обогрева шкафа, так как это значительно дешевле ремонта УСПД после первой зимы.</t>
  </si>
  <si>
    <t>Лист 5/133/23-ГК-АСКУЭ — Схема электрическая принципиальная (обозначение на линии связи).
Лист 1 (СО)/133/23-ГК-АСКУЭ— Спецификация оборудования (раздел «Кабельные изделия»).
Лист 16 (КЖ)/133/23-ГК-АСКУЭ — Кабельный журнал (графа «Марка, напряжение» для линий RS1.1–RS1.4).
Лист 1 (СО)/133/23-ГК-АСКУЭ— Спецификация (поз. 2.1, количество 0.2 км).\    *   ( **Лист 16 (КЖ)/133/23-ГК-АСКУЭ** ) — Кабельный журнал (строка трассы A1-GSM, длина 30 м).
Лист 1 (СО)/133/23-ГК-АСКУЭ— Спецификация (общий объем).
Лист 16 (КЖ)/133/23-ГК-АСКУЭ — Кабельный журнал (итоговая сумма длин по трассам).</t>
  </si>
  <si>
    <t>#### 4. Расходные материалы и Ошибки в объемах
1. Противоречие марок магистрального кабеля (RS-485)
Суть ошибки: На «Схеме электрической принципиальной» и в спецификации для магистральных линий RS1.1–RS1.4 указан кабель КГПЭПнг(А)-HF 1х2х0,78. Однако в «Кабельном журнале» для этих же самых линий прописана марка НВПЭнг(А)-HF 2х2х0,78.
2. Ошибка в объемах коаксиального кабеля (RG-213)
Суть ошибки: В спецификации заложено 200 метров кабеля RG-213. В кабельном журнале длина линии A1-GSM до антенны составляет всего 30 метров.
3. Дефицит кабеля для ответвлений («отпаек»)
Суть ошибки: В спецификации заложено 500 метров магистрального кабеля. Сумма длин четырех основных лучей по кабельному журналу уже составляет 460 метров.</t>
  </si>
  <si>
    <t xml:space="preserve">1. Противоречие марок магистрального кабеля (RS-485)
Суть ошибки: На «Схеме электрической принципиальной» и в спецификации для магистральных линий RS1.1–RS1.4 указан кабель КГПЭПнг(А)-HF 1х2х0,78. Однако в «Кабельном журнале» для этих же самых линий прописана марка НВПЭнг(А)-HF 2х2х0,78.
2. Ошибка в объемах коаксиального кабеля (RG-213)
Суть ошибки: В спецификации (поз. 2.3) заложено 200 метров кабеля RG-213. В кабельном журнале (линия A1-GSM до антенны) указано всего 30 метров.
Технический расчет: С учетом перепада высот между -1 и 2 этажами (около 12 м), горизонтальных участков и радиусов изгиба жесткого кабеля, фактическая потребность составляет 35–40 метров.
3. Дефицит кабеля для ответвлений («отпаек»)
Суть ошибки: В спецификации заложено 500 метров магистрального кабеля. Сумма длин четырех основных лучей по кабельному журналу уже составляет 460 метров.
Проблема: Оставшийся запас в 40 метров не учитывает подключение более чем 120 счетчиков от этажных коробок. Суммарная длина этих ответвлений на 17 уровнях здания значительно превысит проектный остаток.
</t>
  </si>
  <si>
    <t>1. Противоречие марок магистрального кабеля (RS-485)
Путь решения: Необходимо унифицировать марку кабеля во всех разделах документации. Рекомендуется использовать НВПЭнг(А)-HF, так как структура «витая пара» является приоритетной для цифровых интерфейсов передачи данных.
2. Ошибка в объемах коаксиального кабеля (RG-213)
Путь решения: Установить в спецификации и журнале единый объем — 50 метров. Это обеспечит необходимый монтажный запас и исключит закупку лишних 150 метров дорогостоящего кабеля.
3. Дефицит кабеля для ответвлений («отпаек»)
Путь решения: Увеличить объем основного магистрального кабеля (НВПЭнг(А)-HF) в спецификации до 650 метров.</t>
  </si>
  <si>
    <t>133_23-ГК-АСКУВТ (30.12.2025)</t>
  </si>
  <si>
    <t>Лист 1 (Общие данные), Лист СО / 133/23-ГК-АСКУВТ</t>
  </si>
  <si>
    <t>1. Системные ошибки (Логика и неактуальные Нормативы)
Несоответствие типа системы: Проект ошибочно назван системой учета электроэнергии (АСКУЭ), упоминаются «электросчетчики».
Использование отмененных норм и опечатки в ГОСТ: Ссылки на недействующие или нерелевантные документы.</t>
  </si>
  <si>
    <t>Доказательства:
1. На Листе 1 указано: «...учета электроэнергии...» и «...магистрали электросчетчиков...».
2. В Спецификации заложен «Щит учета электроэнергии».
3. В списке норм указан отмененный СП 31-110-2003, устаревший ВСН 60-89 и нерелевантный РМ 2559 (учет электричества).
4. В тексте присутствуют опечатки в ГОСТ: указаны несуществующий ГОСТ 3565-2012 (вместо 31565-2012) и ГОСТ 664-79 (вместо 464-79).</t>
  </si>
  <si>
    <t>1. Заменить «электроэнергия» и «электросчетчики» на «вода и тепло» / «счетчики ресурсов».
2. Удалить ссылки на СП 31-110-2003, ВСН 60-89 и РМ 2559.
3. Добавить актуальные нормы: СП 134.13330.2012, ГОСТ 34 серии и Постановление РФ № 1034.
4. Исправить опечатки на ГОСТ 31565-2012 и ГОСТ 464-79. ПУЭ оставить только для цепей питания 220В.</t>
  </si>
  <si>
    <t>Лист 1, Листы 7-16, Лист КЖ, Лист СО / 133/23-ГК-АСКУВТ</t>
  </si>
  <si>
    <t>2. Ошибки кабельного хозяйства
Двойное противоречие в марках кабеля и неполнота планов.</t>
  </si>
  <si>
    <t>Доказательства:
1. В Спецификации (Лист СО) заложен гибкий кабель КГПЭпнг(А)-HF, а в Кабельном журнале (Лист КЖ) — жесткий НВПЭнг(А)-HF.
2. На планах этажей (Листы 7-16) не нанесены линии питания интерфейсов (П1, П2 и т.д.), заявленные в Кабельном журнале, что делает невозможным точный расчет трасс при монтаже.</t>
  </si>
  <si>
    <t>1. Принять за эталон марку гибкого кабеля КГПЭпнг(А)-HF 1x2x0,78.
2. Унифицировать эту марку в Общих данных (Лист 1) и в Кабельном журнале (Лист КЖ).
3. Отрисовать линии питания П1, П2 на планах этажей к каждой коробке коммутации.</t>
  </si>
  <si>
    <t>Лист 1, Листы 5, 6, Листы 7-15, Лист СО / 133/23-ГК-АСКУВТ</t>
  </si>
  <si>
    <t>3. Ошибки в Спецификации и комплектации
Отсутствие необходимых монтажных материалов, антенны и путаница в названиях коробок.</t>
  </si>
  <si>
    <t>Доказательства:
1. На схемах (Листы 5 и 6) требуется: «...использовать соединители Wago 221-415». В Спецификации их нет.
2. На Листе 1 заявлена «GSM-антенна...». В Спецификации антенны нет.
3. На планах и УГО (Лист 7) используется термин «Коробка коммутационная». В Спецификации — «Коробка клеммная».</t>
  </si>
  <si>
    <t>1. Рассчитать количество и добавить соединители Wago 221-415 в Лист СО.
2. Добавить выносную GSM-антенну (усиление 13,5 дБ) с кабелем в Лист СО.
3. Привести названия к единому стандарту «Коробка коммутационная (Пульсар)» везде.</t>
  </si>
  <si>
    <t>Лист 3, Лист 4, Лист СО / 133/23-ГК-АСКУВТ</t>
  </si>
  <si>
    <t>4. Инженерно-технические ошибки
Несоответствие элементной базы щита ЩАСКУВТ.</t>
  </si>
  <si>
    <t>Расхождение по количеству блоков питания между принципиальной схемой и таблицей компоновки. Лист 4 (таблица) требует 8 блоков питания ИП-15-60. При этом Лист 3 (схема) и Лист СО закладывают 5 блоков .
+2</t>
  </si>
  <si>
    <t>Синхронизировать количество блоков питания: выбрать 5 шт. и исправить спецификацию щита на Листе 4.</t>
  </si>
  <si>
    <t>5. Несоответствие количества автоматических выключателей.</t>
  </si>
  <si>
    <t>Принципиальная схема (Лист 3) показывает 6 автоматов (QF1 на 10A и QF2-QF6 на 6A) . В Спецификации (Лист СО) указано 7 автоматов (один на 10А и шесть на 6А).
+2</t>
  </si>
  <si>
    <t>Скорректировать спецификацию (Лист СО): оставить 5 шт. на 6А и 1 шт. на 10А, либо добавить резервный автомат на принципиальную схему Листа 3.</t>
  </si>
  <si>
    <t>Лист 4, Лист СО / 133/23-ГК-АСКУВТ</t>
  </si>
  <si>
    <t>6.  Недокомплект аккумуляторных батарей для ИБП.</t>
  </si>
  <si>
    <t>Таблица на Листе 4 требует «SKAT-UPS... 2х7А/ч». В итоговой Спецификации (Лист СО) учтена только 1 батарея DTM 1207. Оборудование работает от цепи 24В.
+1</t>
  </si>
  <si>
    <t>Увеличить количество аккумуляторных батарей DTM 1207 (или аналог) в Листе СО до 2 шт.</t>
  </si>
  <si>
    <t>133_23-ГК-АСУД.Л (от 27.01.2026)</t>
  </si>
  <si>
    <t>Общие данные (л. 1)</t>
  </si>
  <si>
    <t>Использование отмененных нормативных документов</t>
  </si>
  <si>
    <t>В перечне ссылочных документов указаны недействующие ГОСТ 34441-2018 и СП 59.13330.2016.</t>
  </si>
  <si>
    <t>Заменить ссылки на актуальные ГОСТ 34441-2024 и СП 59.13330.2020.</t>
  </si>
  <si>
    <t>Спецификация (л. 24) / КЖ (л. 21)</t>
  </si>
  <si>
    <t>Критическое отсутствие запаса кабеля (0% резерв)</t>
  </si>
  <si>
    <t>Для позиций 5.2, 5.3 и 5.4 спецификации длины кабеля КПСПЭПнг(А)-FRHF указаны метр-в-метр по кабельному журналу (например, 70м + 5м = 75м). Нормативный запас на разделку и укладку отсутствует.</t>
  </si>
  <si>
    <t>Увеличить длины всех кабельных линий в спецификации минимум на 10-15%.</t>
  </si>
  <si>
    <t>Схемы подключений (л. 14-18) / Спецификация</t>
  </si>
  <si>
    <t>Отсутствие обязательных схемотехнических элементов</t>
  </si>
  <si>
    <t>На схемах лифтовых блоков (ЛБ-ЛФ-1, ЛБ-ЛФ-2 и др.) указано требование: "выполнить подключение резисторов 120 Ом". В спецификации эти позиции отсутствуют, и они не могут быть отнесены к вспомогательным монтажным материалам (как, например, провода).</t>
  </si>
  <si>
    <t>Добавить терминальные резисторы (120 Ом) в спецификацию.</t>
  </si>
  <si>
    <t>Спецификация (л. 22) / Общие данные</t>
  </si>
  <si>
    <t>Уязвимость питания АРМ Диспетчера</t>
  </si>
  <si>
    <t>Питание АРМ предусмотрено от щита ЭМ2 по I категории. Однако время срабатывания АВР (до 2 сек) приведет к жесткой перезагрузке системного блока Dell, а локальный ИБП (UPS) в спецификации не предусмотрен.</t>
  </si>
  <si>
    <t>Добавить в спецификацию ИБП (600-800 ВА) для системного блока и монитора диспетчера.</t>
  </si>
  <si>
    <t xml:space="preserve">133_23-ГК-РТ (от 25.12.2025) </t>
  </si>
  <si>
    <t>Лист 20 / РСПИ</t>
  </si>
  <si>
    <t>Отсутствует отображение линии связи от АПС к ПАК «Стрелец»</t>
  </si>
  <si>
    <t>На схеме сопряжения к шлейфам модуля МВК-RS (ШС1, ШС2) не подведены линии связи от АПС. Прямое нарушение п. 3.4 ТУ №77107, а также ГОСТ Р 53325-2012, требующих обязательной установки согласующих резисторов для контроля целостности линии на обрыв.</t>
  </si>
  <si>
    <t>Отрисовать приходящие линии связи от АПС (с выноской "учтено в разделе ПБ") к модулю МВК-RS и указать на схеме номиналы согласующих резисторов.</t>
  </si>
  <si>
    <t>Листы 19, 37, 43 / Кабели</t>
  </si>
  <si>
    <t>Задвоение кабеля связи с СОУЭ в спецификации</t>
  </si>
  <si>
    <t>В кабельном журнале и спецификации РТ ошибочно учтен кабель до оборудования СОУЭ, хотя на схеме (Лист 19) указано, что он учитывается в разделе 133/23-ГК-ПБ. Нарушение п. 4.1.9 ГОСТ Р 21.101-2020 (исключение дублирования в спецификациях).</t>
  </si>
  <si>
    <t>Исключить данный кабель из кабельного журнала и спецификации раздела РТ, оставив на схемах только ссылку на раздел ПБ.</t>
  </si>
  <si>
    <t>Лист 21 / Шкафы</t>
  </si>
  <si>
    <t>Нарушение теплового режима УППВ</t>
  </si>
  <si>
    <t>В шкафу оконечный усилитель закрыт сверху глухой фальш-панелью. Вентиляционная панель ошибочно установлена под ним. Нарушение требований паспорта оборудования и п. 4.1.20 ПУЭ по обеспечению надлежащего охлаждения аппаратуры.</t>
  </si>
  <si>
    <t>Поменять местами фальш-панель и вентиляционную панель: установить перфорацию строго над радиаторами усилителя мощности.</t>
  </si>
  <si>
    <t>Лист 22 / Шкафы</t>
  </si>
  <si>
    <t>Ошибка центра тяжести шкафа УС-2</t>
  </si>
  <si>
    <t>Корпус с тяжелыми свинцово-кислотными АКБ 7Ач размещен на самом верху стойки (на уровне 10U-15U). Грубое нарушение ГОСТ 12.2.007.0-75 (требования безопасности) и базовых правил эргономики 19-дюймовых шкафов.</t>
  </si>
  <si>
    <t>Переместить тяжелые элементы с АКБ в самую нижнюю часть телекоммуникационного шкафа (на уровни 2U-6U).</t>
  </si>
  <si>
    <t>Листы 5, 21, 22 / Шкафы</t>
  </si>
  <si>
    <t>Грозозащита не имеет места установки</t>
  </si>
  <si>
    <t>На структурной схеме предусмотрены блоки грозозащиты ГР1 и ГР2, однако на схемах фасадов шкафов УППВ и УС-2 для них графически не выделено место. Нарушение п. 4.1.2 ГОСТ Р 21.101-2020 (взаимная увязка чертежей проекта).</t>
  </si>
  <si>
    <t>Добавить DIN-рейку или монтажную панель в схемы шкафов (Листы 21, 22) и графически отобразить на них установку УЗИП.</t>
  </si>
  <si>
    <t>Общие данные</t>
  </si>
  <si>
    <t>Нет расчета емкости резервного питания</t>
  </si>
  <si>
    <t>В проекте нет таблицы с расчетом токов потребления, доказывающей, что емкости АКБ хватит на требуемые п. 5 ТУ №77105 1 час тревоги + 6 часов дежурства при отсутствии внешнего электроснабжения.</t>
  </si>
  <si>
    <t>Добавить на Лист «Общие данные» таблицу с током потребления каждого устройства и итоговым математическим расчетом времени резервирования.</t>
  </si>
  <si>
    <t>Лист 25 / Шкафы</t>
  </si>
  <si>
    <t>Неполный состав оборудования в слаботочных нишах</t>
  </si>
  <si>
    <t>На схеме размещения оборудования в слаботочных нишах этажа отражено не всё оборудование смежных систем. Нарушение требований ГОСТ Р 21.101-2020 к полноте рабочей документации.</t>
  </si>
  <si>
    <t>Актуализировать чертеж слаботочной ниши на Листе 25, полностью отобразив всё оборудование, фактически устанавливаемое в отсеке СС.</t>
  </si>
  <si>
    <t>133_23-ГК-ОЗДС (от 17.06.25)</t>
  </si>
  <si>
    <t>Лист 10 (Узлы) / Лист 14 (Спецификация)</t>
  </si>
  <si>
    <t>Электрический пробой (Нарушение ПУЭ и ТУ)</t>
  </si>
  <si>
    <t>На схеме узла подключения барьера высоковольтный провод ПВМТ 40 (импульс до 20 кВ) соединяется через клеммную колодку ЗВИ-5. По паспорту ЗВИ-5 (и ГОСТ IEC 60947-7-1) номинальное напряжение изоляции не превышает 400В. Это прямое нарушение ПУЭ (п. 1.9.9 и гл. 1.8) о соответствии изоляции рабочему напряжению.</t>
  </si>
  <si>
    <t>Исключить ЗВИ-5 для ВВ-линий. Применить специализированные высоковольтные муфты или метод скрутки с многослойной ВВ-термоусадкой, согласно требованиям паспорта на систему ОЗДС.</t>
  </si>
  <si>
    <t>Лист 13 (Кабельный журнал) / Лист 14 (Спецификация)</t>
  </si>
  <si>
    <t>Нулевой технологический запас кабеля (Нарушение СП)</t>
  </si>
  <si>
    <t>Увеличить объем кабелей ППГнг(А)-HF в спецификации минимум на 5–10% (заложить ~22 м и ~720 м соответственно). Сделать то же самое для гофротрубы.</t>
  </si>
  <si>
    <t>Нехватка ВВ-провода ПВМТ-40 (Нарушение РМ-2776)</t>
  </si>
  <si>
    <t>Пересчитать потребность в проводе: (макс. высота установки 1,8м + горизонтальный отступ + разделка 0,5м) × 21 шт. Рекомендуется заложить в спецификацию минимум 55–60 м ПВМТ-40.</t>
  </si>
  <si>
    <t>Лист 15 (ТЗ для смежных разделов)</t>
  </si>
  <si>
    <t>Неполное ТЗ для строителей (Нарушение ТУ монтажа)</t>
  </si>
  <si>
    <t>Запросить раздел АР для проверки наличия подготовки полов. Если данных нет — выдать официальное ТЗ строителям на цементно-песчаную стяжку и обеспыливание порогов в зонах установки ОЗДС.</t>
  </si>
  <si>
    <t>133_23-ГК-СДС (от 11.02.2026)</t>
  </si>
  <si>
    <t>7 / Общие данные</t>
  </si>
  <si>
    <t>Противоречивый алгоритм разблокировки путей эвакуации</t>
  </si>
  <si>
    <t>В текстовой части (лист 7) указано: «Разблокировка преграждающих устройств и открытие пожарных ворот предусмотрена с абонентской части домофонов охраны и консьержа». Это создает юридическую коллизию: управление преграждающими устройствами на путях эвакуации должно осуществляться строго автоматически по сигналу от системы пожарной сигнализации (АПС) (нарушение ч. 4 ст. 84 ФЗ-123 и п. 4.2.24 СП 1.13130.2020), а не зависеть от ручных действий консьержа через домофон.</t>
  </si>
  <si>
    <t>Внедрить в электрические схемы аппаратное снятие напряжения с замков/приводов ворот по сигналу от АПС, либо добавить в общие указания прямое примечание о безусловной автоматической разблокировке ворот от шкафов управления смежных разделов (АПС/Автоматики ворот), сняв ответственность за данный алгоритм с раздела СДС.</t>
  </si>
  <si>
    <t>32, 40 / Спец., КЖ</t>
  </si>
  <si>
    <t>Расхождение базовых длин кабельных линий</t>
  </si>
  <si>
    <t>В кабельном журнале (лист 40) итоговая проектная длина кабеля U/UTP Cat5e ZH нг(А)-HF составляет 4185 м (с учетом запаса — 4575 м). В спецификации на листе 32 указана базовая длина 4105 м (с учетом запаса — 4559 м). Фактическое расхождение составляет 80 метров без учета нормативного запаса на подрезку и укладку (нарушение п. 4.1.2 ГОСТ Р 21.101-2020).
+1</t>
  </si>
  <si>
    <t>Откорректировать спецификацию (поз. 18), приняв за основу расчетные длины из кабельного журнала с добавлением технологического запаса не менее 5-10%.</t>
  </si>
  <si>
    <t>133_23-ГК-СОТС (от  10.04.2025)</t>
  </si>
  <si>
    <t>Лист 2 (ОД), Листы 12-13</t>
  </si>
  <si>
    <t>Противоречие во времени резервирования питания</t>
  </si>
  <si>
    <t>Нарушение ГОСТ Р 21.101-2020 (п. 4.1.1, взаимная согласованность данных). В общих указаниях заявлено время работы от АКБ в режиме тревоги 4 часа , однако в расчетах ИВЭПР применено время 3 часа. Фактическая расчетная емкость 25 Ач (для шкафа 1UG1.1) покроет только 3 часа работы нагрузки.
+1</t>
  </si>
  <si>
    <t>1. Устранить коллизию в документации: пересчитать емкость АКБ исходя из 4 часов работы в тревоге, либо изменить текст общих указаний на 3 часа в соответствии с ТЗ. 
2. Заменить источники питания, для выполнения требования работы 4 часа в тревоге: 
- Замена АКБ в выносном боксе (с 18 Ач на 26 Ач), для этого придется заменить сам металлический бокс в спецификации с «БР24 исп. 2х17» на «БР24 исп. 2х26». 
- Замена АКБ в основном ИВЭПР (с 7 Ач на 12 Ач), для этого придется заменить модель самого ИВЭПР в спецификации с «ИВЭПР 24/2,5 2x7»  на корпус, вмещающий 12 Ач (например, «ИВЭПР 24/2,5 2x12»).</t>
  </si>
  <si>
    <t>Лист 10, Лист 5, Спецификация</t>
  </si>
  <si>
    <t>Несоответствие климатического исполнения оборудования</t>
  </si>
  <si>
    <t>Нарушение ПУЭ-7 (п. 1.1.28) и ГОСТ 15150-69. Оборудование, размещаемое на кровле (отм. +55.745) и в подземной автостоянке (-2 этаж) , заложено в стандартном внутреннем исполнении (извещатели ИО 40920-2, ИО 10220-2).
+2</t>
  </si>
  <si>
    <t>Заменить в спецификации извещатели для уличных и неотапливаемых зон на влагозащищенные (не ниже IP65) с расширенным температурным диапазоном, либо предусмотреть термокожухи.Необходимо исключить из спецификации несколько штук ИО 40920-2 и ИО 10220-2 (ровно столько, сколько их на кровле и в паркинге) и вместо них добавить связки: [ИО 102-20/Б2П + АМ-1-R3] для дверей и [Пирон-8 + АМ-1-R3 + кабель питания] для автостоянки.</t>
  </si>
  <si>
    <t>Лист 18, Спецификация</t>
  </si>
  <si>
    <t>Отсутствие коммутационных шнуров</t>
  </si>
  <si>
    <t>Нарушение ГОСТ Р 21.110-2013. На схеме шкафа ОСПД.М.1 жестко заложены соединительные патч-корды U/UTP Cat.5e длиной 0.5 м , но они отсутствуют в спецификации оборудования и материалов.
+2</t>
  </si>
  <si>
    <t>Добавить коммутационные шнуры соответствующей категории и длины в спецификацию материалов.</t>
  </si>
  <si>
    <t>133_23-ГК-КК (от 01.07.2025)</t>
  </si>
  <si>
    <t>Лист 5, СО (л. 28–31)</t>
  </si>
  <si>
    <t>Отсутствие материалов для заземления кабелепроводов</t>
  </si>
  <si>
    <t>Нарушение п. 1.7.76 ПУЭ-7. Общие указания предписывают соединять начало и конец каждой линии лотков проводом заземления. В итоговой спецификации раздела 133/23-ГК-КК отсутствует гибкий проводник, кабельные наконечники и метизы для подключения к шине РЕ. Примечание: в общих указаниях (листы 15–17) заявлено, что заземление предусматривается разделом ЭОМ (133/23-ГК-ЭМ2). Требуется подтверждение наличия данных объёмов в смежном разделе.</t>
  </si>
  <si>
    <t>Запросить у проектировщика подтверждение учёта провода заземления (сечением не менее 4–6 мм²) и болтовых наконечников в разделе 133/23-ГК-ЭМ2. При отсутствии — внести в спецификацию раздела КК.</t>
  </si>
  <si>
    <t>СО (л. 1–5), Общие данные</t>
  </si>
  <si>
    <t>Отсутствие указания на технологический запас материалов</t>
  </si>
  <si>
    <t>В итоговой спецификации и примечаниях к ней отсутствует явное указание на нормативный технологический запас (3–5%) на обрезь и отходы лотков, труб и резьбовых шпилек. Данная информация не является обязательной на стадии «Р», однако её отсутствие может привести к дефициту материалов при монтаже.</t>
  </si>
  <si>
    <t>Рекомендовать монтажной организации учесть технологический запас 3–5% при формировании заявки на закупку материалов.</t>
  </si>
  <si>
    <t>133-23-ГК-СКУД (от 04.02.2026)</t>
  </si>
  <si>
    <t>Л. 23–27 (КЖ)
Л. 28–31 (СО)</t>
  </si>
  <si>
    <t>Отсутствие огнестойкости кабеля питания систем противопожарной защиты</t>
  </si>
  <si>
    <t>Для питания электромагнитных замков и устройств дистанционной разблокировки (УДП) на путях эвакуации заложены кабели КПСТТнг(А)-HF: тип К5 (1×2×0,75) для питания замков и тип К3 (1×2×0,5) для подключения УДП. Согласно п. 4.8 действующего СП 6.13130.2021 и таблице 2 ГОСТ 31565-2012, кабельные линии систем противопожарной защиты, включая цепи управления эвакуационными дверями, обязаны сохранять работоспособность в условиях пожара и иметь исполнение не ниже нг(А)-FRHF. В проекте буква «FR» в марке кабеля отсутствует. Примечание: электромагнитные замки являются fail-safe устройствами (обесточивание = разблокировка), однако формальное требование СП 6.13130.2021 распространяется на все кабельные линии СПЗ без исключений. Кабель К3 к УДП (активный элемент СПЗ, не fail-safe) представляет бо́льшую опасность при потере огнестойкости.</t>
  </si>
  <si>
    <t>Заменить марки кабелей К5 и К3 питания электромагнитных замков и УДП на путях эвакуации на огнестойкие аналоги с исполнением нг(А)-FRHF: КПСТТнг(А)-FRHF 1×2×0,75 и КПСТТнг(А)-FRHF 1×2×0,5 соответственно. Внести изменения в кабельный журнал (133/23-ГК-СКУД.КЖ) и спецификацию материалов (133/23-ГК-СКУД.СО).
Замене подлежат две категории кабелей на путях эвакуации:
К3 — сигнальный к УДП (BTM1.1): КПСТТнг(А)-HF 1×2×0,5 → КПСТТнг(А)-FRHF 1×2×0,5
К5 — питание замка через УДП (BTM1.1-ZM): КПСТТнг(А)-HF 1×2×0,75 → КПСТТнг(А)-FRHF 1×2×0,75</t>
  </si>
  <si>
    <t>Л. 25 (КЖ)
Л. 17 (Таблица АКБ)</t>
  </si>
  <si>
    <t>Превышение допустимого падения напряжения в питающих линиях электромагнитных замков</t>
  </si>
  <si>
    <t>Длина трассы от контроллера 1MD1.14 до электромагнитного замка 1.ТД1.4 составляет 85 метров кабелем КПСТТнг(А)-HF 1×2×0,75 мм². Аналогичная трасса от 1MD1.13 до замка 1.ТД1.3 составляет 86 метров тем же кабелем. Расчётное падение напряжения: R = 0,0175 × 85 / 0,75 = 1,98 Ом; на двухпроводной линии R_кр = 3,97 Ом; при токе замка I = 0,5 А потеря составит ΔU ≈ 2,0 В. При питании от АКБ (напряжение разряда ≈ 10,5 В) на замок поступит ≈ 8,5 В, что ниже минимального рабочего напряжения замка ST-EL260L-SL (10,8 В). Это нарушает требования ГОСТ Р 51241-2008 (раздел 5) в части обеспечения оборудования электропитанием в пределах рабочих допусков.</t>
  </si>
  <si>
    <t>Увеличить сечение питающего кабеля для трасс длиной более 40 метров до 1,5 мм² — применить КПСТТнг(А)-HF 1×2×1,5 (тип К4) на линиях: 1MD1.14 → 1.ТД1.4 (ZM1.1), длина 85 м; 1MD1.13 → 1.ТД1.3 (ZM1.1), длина 86 м. Внести изменения в кабельный журнал и спецификацию.</t>
  </si>
  <si>
    <t>Л. 17 (Таблица АКБ)</t>
  </si>
  <si>
    <t>Перегрузка источников вторичного электропитания</t>
  </si>
  <si>
    <t xml:space="preserve"> Расчётный ток потребления от ИВЭПР UG1.2 составляет 4,75 А при номинальном токе источника 5 А (загрузка 95%). Расчётный ток потребления от ИВЭПР UG1.4 составляет 4,90 А при номинальном токе источника 5 А (загрузка 98%). Оба значения превышают допустимую нагрузку 80% (4,0 А), установленную требованиями ГОСТ Р 51241-2008 (п. 5.6) и СП 256.1325800.2016 (п. 8.12.5) о выборе источников питания с коэффициентом запаса по мощности не менее 20% для компенсации пусковых токов и деградации АКБ. </t>
  </si>
  <si>
    <t>По UG1.2 и UG1.4: применить ИВЭПР с номинальным током не менее 8 А (например, ИВЭПР 12/8) либо перераспределить нагрузку — вынести часть точек доступа на дополнительный источник питания. 
Оптимальный вариант — СКАТ-1200У (ИБП-12/6,5-17) для обоих источников. Он обеспечивает 20% запас для обоих случаев, сертифицирован по ГОСТ Р 53325, совместим по выходному напряжению (12 В) и подходит под АКБ 17 Ач (что даже увеличит время автономной работы по сравнению с текущими 7 Ач). В спецификации проекта уже допускается замена на аналог: «Допускается применение материалов и оборудования других производителей с аналогичными техническими характеристиками при наличии сертификатов (деклараций) соответствия».</t>
  </si>
  <si>
    <t>Л. 20 (Эскиз калитки)
Л. 28–31 (СО)</t>
  </si>
  <si>
    <t>Неучтённые материалы для подвижных элементов конструкций</t>
  </si>
  <si>
    <t>На эскизе установки оборудования СКУД на калитку ворот пожарного проезда (лист 20) указан «Гибкий кабелепереход». В спецификации оборудования, изделий и материалов (133/23-ГК-СКУД.СО, листы 28–31, позиции 1–46) данная номенклатура полностью отсутствует, что нарушает требования ГОСТ 21.110-2013 (п. 4.1) к комплектности и полноте спецификаций оборудования, изделий и материалов. Калитка входит в комплект поставки ворот (см. 133/23-ГК-ГП5), однако гибкий кабелепереход является элементом прокладки кабелей СКУД и не относится к конструкции ворот.</t>
  </si>
  <si>
    <t>Включить гибкие уличные кабелепереходы из нержавеющей стали в спецификацию материалов (раздел III «Монтажные изделия и материалы») с указанием количества, типоразмера и завода-изготовителя. Количество — по числу калиток с оборудованием СКУД (точки доступа 0.ТД4.1, 0.ТД5.1, 0.ТД6.1).</t>
  </si>
  <si>
    <t>ЭОМ</t>
  </si>
  <si>
    <t>133_23-ГК-ЭО1 (от 04.09.2025)</t>
  </si>
  <si>
    <t>Лист 4.1
 Схема ЩО-П2</t>
  </si>
  <si>
    <t>Перекос токов по фазам 39%</t>
  </si>
  <si>
    <t>Токи: A=19,8А, B=12,0А, C=14,3А. Расчёт: (19,8−12,0)/19,8×100%=39,4%. Допуск: норм. ≤15%, макс. ≤30%.
 Норма: ГОСТ 32144-2013; СП 256.1325800.2016 п.9.5</t>
  </si>
  <si>
    <t>Перераспределить нагрузки Гр.2.2–Гр.2.7 (пилоны) по фазам для достижения перекоса ≤15%. Пересчитать токи по фазам.</t>
  </si>
  <si>
    <t>Лист 2 (Общие данные)
 Лист 5 (схема ЩАО-П)</t>
  </si>
  <si>
    <t>Фотореле на группах постоянного аварийного освещения</t>
  </si>
  <si>
    <t>В ОД (лист 2): аварийное освещение «работает постоянно». На схеме ЩАО-П присутствует «Схема управления с фотореле» (ФР, KL1, BL1, TL1), управляющая Гр.12А (входы) и Гр.13А (номер дома). Гр.12А по ОД — постоянное освещение.
 Норма: СП 6.13130.2021 п.4.4; СП 52.13330.2016 п.7.63</t>
  </si>
  <si>
    <t>Устранить противоречие для Гр.12А: исключить управление через фотореле. Для Гр.13А уточнить статус (эвакуационное или нет) и при необходимости вынести в отдельную группу с иным режимом.</t>
  </si>
  <si>
    <t>Лист 4
 ЩО-П1 окончание</t>
  </si>
  <si>
    <t>Дублирующееся обозначение QF26 в ЩО-П1</t>
  </si>
  <si>
    <t>Обозначение QF26 присвоено двум автоматам: Гр.1.26 (фаза B, C10А) и Гр.1.27 (фаза C, C10А). Нарушение принципа уникальности позиционных обозначений.
 Норма: ПУЭ п.1.1.29; ГОСТ Р 50571-5-53</t>
  </si>
  <si>
    <t>Переименовать автомат Гр.1.27 в QF27. Обеспечить сквозную нумерацию QF1–QF29 без повторений.</t>
  </si>
  <si>
    <t>Дублирующееся обозначение QF6 в ЩО-П2</t>
  </si>
  <si>
    <t>Обозначение QF6 присвоено двум автоматам: Гр.2.6 (фаза C, C10А) и Гр.2.7 (фаза A, C10А).
 Норма: ПУЭ п.1.1.29; ГОСТ Р 50571-5-53</t>
  </si>
  <si>
    <t>Переименовать автомат Гр.2.7 в QF7. Скорректировать нумерацию резервных QF28/QF29.</t>
  </si>
  <si>
    <t>Лист 5
 Схема ЩАО-П
 Спец. лист СО2</t>
  </si>
  <si>
    <t>Недостаточный резерв модулей в ЩАО-П</t>
  </si>
  <si>
    <t>Корпус ЩРН-36-IP31 (36 мод.). Занято: QF1–QF21=21 мод. + QF28=1 мод. + QS1 ВН-105=3 мод. + КМ1.1, КМ1.2=4 мод. Итого ≈29 мод., свободно ≈7 мод. (~19%). Требование по схеме: резерв ≥30% (≥11 мод.).
 Норма: Примечание 2 к схеме ЩАО-П; ПУЭ п.9.1.2</t>
  </si>
  <si>
    <t>Увеличить корпус ЩАО-П до ЩРН-48 (48 мод.), либо вынести контакторы КМ1.1/КМ1.2 на отдельную рейку вне щита.</t>
  </si>
  <si>
    <t>Лист СО2
 Спецификация, поз. СП4</t>
  </si>
  <si>
    <t>Противоречие IP-защиты ленты СП4</t>
  </si>
  <si>
    <t>Позиция СП4: «Гибкая светодиодная лента COB 24V ... IP20». Помещение паркинга — сырое. В примечании той же строки: «Закупается по р.АИ не менее IP54» — прямое противоречие.
 Норма: ПУЭ п.2.1.3, табл.2.1.1; СП 256.1325800.2016 п.14.8</t>
  </si>
  <si>
    <t>Заменить ленту СП4 на исполнение IP54 или выше. Скорректировать наименование в спецификации. Согласовать с разделом АИ.</t>
  </si>
  <si>
    <t>Листы 3, 4.1, 5
 Шапки схем всех щитов</t>
  </si>
  <si>
    <t>Одинаковые токи КЗ для щитов с разными кабелями</t>
  </si>
  <si>
    <t>Iкз3ф=2,44кА, Iкз1ф=1,24кА, Iуд=3,45кА идентичны для ЩО-П1 (кабель 5×6 мм²), ЩО-П2 и ЩАО-П (кабель 5×4 мм²). Расчёт: для 5×6, L=15м → Iкз1ф≈833А; для 5×4, L=15м → Iкз1ф≈717А. Значения должны различаться — очевидное копирование.
 Норма: ПУЭ п.1.7.79; ГОСТ Р 50571-4-41</t>
  </si>
  <si>
    <t>Пересчитать Iкз1ф индивидуально для ЩО-П2 и ЩАО-П. Проверить выполнение условия Iкз &gt; Iотс для автоматов на ВРУ-4 (t≤0,4с).</t>
  </si>
  <si>
    <t>Лист 3 — ЩО-П1 начало
 Лист 4 — ЩО-П1 окончание</t>
  </si>
  <si>
    <t>Опечатка cosφ на листе 3 ЩО-П1</t>
  </si>
  <si>
    <t>Лист 3: cosφ=0,95. Лист 4: cosφ=0,96. Расчёт: cosφ=Рр/(√3×U×Iр)=14400/(1,732×380×22,7)=0,961 ≈ 0,96. Правильное значение — 0,96 (лист 4), на листе 3 — опечатка.</t>
  </si>
  <si>
    <t>Исправить cosφ на листе 3 с 0,95 на 0,96.</t>
  </si>
  <si>
    <t>Лист 3 — схема ЩО-П1
 Лист СО2 — спецификация</t>
  </si>
  <si>
    <t>Несовпадение габарита корпуса ЩО-П1</t>
  </si>
  <si>
    <t>На схеме (лист 3): корпус ЩО-П1 — 540×600×120 мм. В спецификации (лист СО2): ЩРН-72-IP31 — 560×600×120 мм. Расхождение ширины: 540 vs 560 мм.</t>
  </si>
  <si>
    <t>Унифицировать размер в обоих документах. Уточнить фактический габарит ЩРН-72-IP31 у производителя.</t>
  </si>
  <si>
    <t>Листы 7, 8
 Примечания п.3 на планах</t>
  </si>
  <si>
    <t>Устаревшее обозначение «ЩО-П» после переименования</t>
  </si>
  <si>
    <t>В примечаниях п.3 на листах 7 и 8 сохранилась формулировка «(ЩО-П, ЩАО-П)». По Изм.2 (2657/25) щит переименован в ЩО-П1 и добавлен ЩО-П2.
 Норма: ГОСТ Р 21.101-2020</t>
  </si>
  <si>
    <t>Заменить «ЩО-П» на «ЩО-П1, ЩО-П2» на листах 7 и 8. Проверить листы 6 и 9.</t>
  </si>
  <si>
    <t>133_23-ГК-ЭО2 (от 29.01.2026)</t>
  </si>
  <si>
    <t>Лист 7, сх. ВРУ-1
 Гр. М1-4.19о</t>
  </si>
  <si>
    <t>Ток КЗ в конце аварийной линии не обеспечивает мгновенное отключение автомата</t>
  </si>
  <si>
    <t>Аварийная группа М1-4.19о: длина кабельной трассы 260 м, сечение 3×2,5 мм², автомат 10А хар-ка С. Расчётный ток КЗ в конце линии составляет ≈59А, что соответствует 5,9×Iн. Для автоматов хар-ки С гарантированное мгновенное отключение наступает при токе не менее 10×Iн (100А). Значение 59А попадает в неопределённую зону (5–10×Iн), где срабатывание является вероятностным. Требование п.1.7.79 ПУЭ об автоматическом отключении в цепях TN за время ≤0,4 с не может быть подтверждено.</t>
  </si>
  <si>
    <t>Увеличить сечение кабеля до 4 мм² (расчётный Iкз_конец ≈93А &gt; 10×Iн) либо ввести промежуточный распределительный шкаф в технической зоне, сократив длину луча до ≤160 м.</t>
  </si>
  <si>
    <t>Лист 7, сх. ВРУ-1
 Гр. М1-3.23о</t>
  </si>
  <si>
    <t>Ток КЗ в конце рабочей линии не обеспечивает мгновенное отключение (критичнее, чем указано в черновике)</t>
  </si>
  <si>
    <t>Рабочая группа М1-3.23о: длина трассы 260 м, сечение 3×2,5 мм², автомат 10А хар-ка С. Первоначальный черновик приводил значение Iкз_конец ≈83А. Независимый пересчёт по параметрам щита (Iкз_шины = 0,561кА, ρCu = 0,0175 Ом·мм²/м) даёт Iкз_конец ≈57А — ниже порога гарантированного мгновенного отключения (100А = 10×Iн для хар-ки С). Фактическое положение хуже, чем было заявлено.</t>
  </si>
  <si>
    <t>Увеличить сечение до 4 мм² или разбить линию промежуточным шкафом. Уточнить фактическое значение Iкз_шины по паспорту трансформатора.</t>
  </si>
  <si>
    <t>Лист 7, сх. ВРУ-1
 (все группы)</t>
  </si>
  <si>
    <t>Значения Iкз в таблице схемы — ток на шинах щита, а не в конце линии</t>
  </si>
  <si>
    <t>В однолинейной схеме ВРУ-1 для каждой группы указаны значения Iкз(1) = 0,378–0,793 кА. Это ток трёхфазного КЗ непосредственно на шинах щита (точка присоединения кабеля). Проверка п.1.7.79 ПУЭ — выполнение условия мгновенного отключения — требует тока КЗ в конце линии, который для группы М1-3.1о (L=130 м, 3×2,5 мм²) составляет ≈103А, то есть примерно в 5,4 раза меньше табличного значения 0,561кА. Текущая нотация вводит проверяющего в заблуждение.</t>
  </si>
  <si>
    <t>Добавить в таблицу групп столбец «Iкз в конце линии (А)» с расчётными значениями по каждой группе. Переименовать существующую колонку в «Iкз на шинах ВРУ (кА)».</t>
  </si>
  <si>
    <t>Лист 7, сх. ВРУ-1
 Гр. М1-4.18о</t>
  </si>
  <si>
    <t>Завышена расчётная длина кабельной трассы: суммарная длина принята как дистанция до конца линии</t>
  </si>
  <si>
    <t>Для группы М1-4.18о в схеме указана длина 375 м. Расчёт потерь напряжения ΔU=1,32% при данных нагрузке и сечении соответствует эффективной расчётной длине ≈131 м. Разница в 2,9 раза свидетельствует о том, что в позиции «длина кабельной линии» указана суммарная протяжённость всей разводки внутри зоны, а не расстояние до наиболее удалённого потребителя.</t>
  </si>
  <si>
    <t>Разделить в спецификации «длину магистрального кабеля» и «суммарную длину ответвлений». Уточнить формулу расчёта ΔU для распределённой нагрузки.</t>
  </si>
  <si>
    <t>Спецификация (лист 6)
 Поз. C7</t>
  </si>
  <si>
    <t>Позиция C7 (darklight) указана в спецификации ЭО2 с отметкой «Закупать по разделу АИ» — риск двойного учёта в смете</t>
  </si>
  <si>
    <t>Светильник darklight 48В 6Вт (поз. C7) включён в ведомость оборудования раздела ЭО2 в количестве 746 шт. Одновременно в той же строке проставлена отметка «Закупать по разделу АИ». Наличие позиции в спецификации ЭО2 без явного указания «для справки» создаёт риск двойного включения в смету: сметчик по ЭО2 может принять стоимость 746 светильников к учёту независимо от раздела АИ.</t>
  </si>
  <si>
    <t>Сделать отметку «Справочно, не включать в смету ЭО2» или полностью вынести позицию из ведомости с примечанием «см. раздел АИ». При необходимости — включить в ВОР ссылочную строку с нулевой стоимостью.</t>
  </si>
  <si>
    <t>Листы 7–14,
 планы этажей</t>
  </si>
  <si>
    <t>Трассы ОКЛ не выделены на планах отдельным условным обозначением</t>
  </si>
  <si>
    <t>На поэтажных планах кабели аварийного и рабочего освещения нанесены идентичными условными линиями. Принадлежность трасс к системе ОКЛ (огнестойкие кабельные линии ПРОМРУКАВ) отражена только в общих примечаниях, но не кодируется на самих планах. Требование идентификации огнестойких линий следует из СП 6.13130.2021 п.4.1 и ГОСТ Р 53316-2009.</t>
  </si>
  <si>
    <t>Ввести в условные обозначения отдельный тип линии для трасс ОКЛ (специальный штрих или цветовое выделение). Дополнить легенду чертежей соответствующим символом.</t>
  </si>
  <si>
    <t>Лист 7, сх. ВРУ-1</t>
  </si>
  <si>
    <t>Отключающая способность (Icu) автоматических выключателей не указана в схеме</t>
  </si>
  <si>
    <t>В однолинейной схеме ВРУ-1 для автоматов DeKraft ВА-300 указаны только номинальный ток и характеристика срабатывания. Отключающая способность Icu (кА) не приведена. Для щитка, расположенного вблизи питающего трансформатора, ток КЗ на шинах ВРУ составляет 0,38–0,79 кА. Соответствие Icu ≥ Iкз_шины требует подтверждения согласно п.3.1.8 ПУЭ.</t>
  </si>
  <si>
    <t>Внести значение Icu (кА) в таблицу параметров для каждого автоматического выключателя. Документально подтвердить выполнение условия Icu ≥ Iкз_шины ВРУ.</t>
  </si>
  <si>
    <t>Лист 7, сх. ВРУ-1
 Гр. М1-3.2о,
 М1-3.15о</t>
  </si>
  <si>
    <t>Недостаточный запас по номиналу автоматического выключателя в двух группах рабочего освещения</t>
  </si>
  <si>
    <t>Группа М1-3.2о: расчётный ток нагрузки 9,1А при номинале автомата 10А (запас 9%). Группа М1-3.15о: расчётный ток 8,98А при номинале 10А (запас 10%). Нормативных нарушений при номинальных условиях нет. Однако обе группы питают исключительно импульсные LED-драйверы (SMPS): darklight 48В и ленты СП4 24В. По IEC 60898-1 тепловой расцепитель автомата при температуре щита +40°С имеет дерейтинг Kt≈0,80 — эффективный порог срабатывания снижается до ~8,0А. Расчётный ток М1-3.15о (8,98А) и М1-3.2о (9,1А) превышают это значение на 12–14%. При длительной работе в летний период тепловой расцепитель сработает на рабочей нагрузке. Пусковые токи SMPS-драйверов для ТМ-автоматов опасности не представляют: длительность броска 0,3–0,5 мс недостаточна для механического срабатывания расцепителя (минимум 1–3 мс по IEC 60898-1). Проверка по п.3.1.8 ПУЭ с учётом температурных условий эксплуатации не задокументирована.</t>
  </si>
  <si>
    <t>Пересмотреть состав групп с целью снижения расчётного тока или заменить автоматы на 16А. При переходе на 16А проверить допустимый ток кабеля 3×2,5 мм² (допустимо при прокладке в трубе — 19А).</t>
  </si>
  <si>
    <t>Листы 8–14,
 планы помещений</t>
  </si>
  <si>
    <t>Степень защиты светильников в технических помещениях с повышенной влажностью не подтверждена</t>
  </si>
  <si>
    <t>Основные светильники ДПО46-36-003 и ДПО46-18-003 имеют степень защиты IP20. Насосная, ИТП и приямки вентиляторов относятся к сырым помещениям, для которых ПУЭ п.7.1.48 требует применения светильников с IP≥44. Классификация помещений по зонам влажности в составе раздела ЭО2 не приведена.</t>
  </si>
  <si>
    <t>Выполнить классификацию технических помещений по зонам согласно ГОСТ IEC 60598-1. Для помещений с нормируемой влажностью &gt;75% применить светильники IP44+.</t>
  </si>
  <si>
    <t>Лист 16, узел
 вывода кабеля
 на кровлю</t>
  </si>
  <si>
    <t>Отсутствует указание о защите кабельной линии от ультрафиолетового излучения на открытом участке кровли</t>
  </si>
  <si>
    <t>Узел вывода кабелей на кровлю не содержит требований к защите от воздействия УФ-излучения. Оболочки безгалогенных кабелей (ППГнг(А)-HF / FRHF) не являются УФ-стойкими согласно ГОСТ 31996-2012 и при длительном воздействии прямого солнечного излучения деградируют. На кровельном плане показаны кабели групп осветительных заградительных огней и указателей ВЫХОД.</t>
  </si>
  <si>
    <t>На узле вывода на кровлю предусмотреть прокладку в защитном коробе или трубе на открытых участках. Либо явно указать требования к УФ-стойкому покрытию кабеля.</t>
  </si>
  <si>
    <t>Лист 5,
 общие данные</t>
  </si>
  <si>
    <t>Опечатка в обозначении нормативного документа в тексте общих указаний</t>
  </si>
  <si>
    <t>В тексте общих данных и указаний применяется обозначение «СПБ2.13330.2016» вместо корректного «СП 52.13330.2016» («Естественное и искусственное освещение»). Ошибка воспроизводится в нескольких местах документа.</t>
  </si>
  <si>
    <t>Заменить «СПБ2.13330.2016» на «СП 52.13330.2016» во всех местах документа.</t>
  </si>
  <si>
    <t>Лист 5,
 ведомость чертежей</t>
  </si>
  <si>
    <t>Нарушение нумерации в ведомости чертежей: дублирование и пропуск номера листа</t>
  </si>
  <si>
    <t>Листу 8 в ведомости присвоены два наименования («2–4 этаж» и «10 этаж»). Лист 11 в ведомости отсутствует. Нумерация нарушена согласно требованиям ГОСТ Р 21.1001-2009.</t>
  </si>
  <si>
    <t>Пересмотреть нумерацию листов в ведомости: устранить дублирование позиции 8, восстановить лист 11 с корректным наименованием.</t>
  </si>
  <si>
    <t>Лист 7, сх. ВРУ-1
 (питание LED-лент)</t>
  </si>
  <si>
    <t>Цепи питания светодиодных лент (24В/48В) не отражены в схеме ВРУ-1</t>
  </si>
  <si>
    <t>На поэтажных планах присутствуют светодиодные ленты СП1, СП3, СП4 (24В) и магнитный шинопровод С7 (48В). Цепи питания блоков питания для этих устройств в схеме ВРУ-1 не показаны — неясно, от каких групп и через какие преобразователи питаются ленты.</t>
  </si>
  <si>
    <t>Добавить в схему ВРУ-1 цепи питания блоков LED (автомат, марка кабеля, мощность). Если питание предусмотрено от отдельного источника — сделать явную ссылку на соответствующий лист.</t>
  </si>
  <si>
    <t>Лист 7, сх. ВРУ-3</t>
  </si>
  <si>
    <t>Схема ВРУ-3 (павильоны) представлена в виде фрагмента без полного состава отходящих групп</t>
  </si>
  <si>
    <t>В комплекте документации ЭО2 для ВРУ-3, питающего павильоны, показан лишь фрагмент схемы. Полный перечень групп, защитная аппаратура, сечения кабелей и расчётные параметры не приведены.</t>
  </si>
  <si>
    <t>Включить полную принципиальную схему ВРУ-3 в состав ЭО2 или оформить явную ссылку на лист соответствующего раздела с указанием номера чертежа.</t>
  </si>
  <si>
    <t>Листы 8, 12, 16,
 планы этажей</t>
  </si>
  <si>
    <t>Датчики движения нанесены на планах без координатных привязок к осям здания</t>
  </si>
  <si>
    <t>На поэтажных планах датчики движения IP44 180° расставлены без жёстких привязок к строительным осям и без указания зон детектирования. Требования к координатным привязкам оборудования — ГОСТ Р 21.408-2013.</t>
  </si>
  <si>
    <t>Добавить размерные привязки к осям или примечание «уточнить по месту» с указанием требуемых зон перекрытия детекции.</t>
  </si>
  <si>
    <t>Разделы ЭМ2, ЭО2</t>
  </si>
  <si>
    <t>Балансирование нагрузки по фазам на вводе ВРУ-1 не верифицировано</t>
  </si>
  <si>
    <t>Полная схема ВРУ-1 (листы 3–4 раздела 133/23-ГК-ЭМ2) в составе аудируемого комплекта отсутствует. Распределение нагрузки между фазами A/B/C по рабочим и аварийным группам не проверено. При дисбалансе &gt;15% требуется перераспределение групп согласно ГОСТ 32144-2013.</t>
  </si>
  <si>
    <t>Запросить листы 3–4 раздела ЭМ2. Выполнить расчёт несимметрии токов по фазам по всем группам ВРУ-1.</t>
  </si>
  <si>
    <t>Разделы ЭО, АТ</t>
  </si>
  <si>
    <t>Требования к освещению лифтовых шахт не согласованы с разделом АТ</t>
  </si>
  <si>
    <t>В составе ЭО2 показано освещение лифтовых шахт. Нормируемый уровень освещённости, IP-класс светильников и требования к управлению определяются конструкцией лифтового оборудования и задаются разделом АТ. Кросс-проверка не выполнена.</t>
  </si>
  <si>
    <t>Согласовать технические условия на освещение шахт с разделом АТ. Убедиться в соответствии нормам ГОСТ Р 55964-2014 и ПБ 10-558-03.</t>
  </si>
  <si>
    <t>Разделы ЭО2, ЭМ</t>
  </si>
  <si>
    <t>Соответствие глубины корпусов ВРУ габаритам контакторов МК103-20А не подтверждено</t>
  </si>
  <si>
    <t>В схемах применены модульные контакторы МК103-20А (2Р, 4НО), монтажная глубина которых составляет 68–75 мм согласно технической документации. Соответствие выбранных корпусов ВРУ этому требованию в комплекте ЭО2 не отражено.</t>
  </si>
  <si>
    <t>По разделу ЭМ проверить габариты корпусов ВРУ. При недостаточной глубине — заменить корпус или пересмотреть компоновку.</t>
  </si>
  <si>
    <t>087-РД-ГП5 (от 03.02.2026)</t>
  </si>
  <si>
    <t>Лист 2 Прим.7 / Лист 7 Узел</t>
  </si>
  <si>
    <t>IP65 бокса Hensel vs IP67 в примечаниях</t>
  </si>
  <si>
    <t>Примечание 7 Листа 2: «Бокс Hensel IP67». Узел установки Лист 7: Hensel Mi0211 — IP65. Бокс устанавливается в грунтовой колодец на глубине −0,70 м. ГОСТ 14254-2015; ПУЭ 1.7.67.</t>
  </si>
  <si>
    <t>Привести к единому IP67 во всех листах. Заменить Hensel Mi0211 (IP65) на IP67-аналог (напр. Mi0321).</t>
  </si>
  <si>
    <t>Лист 4 (ЩНО): QFD2 = DS201-C16, Iкз Гр.2</t>
  </si>
  <si>
    <t>Iкз Гр.2 = 150 А на верхней границе отсечки автомата C16 (80–160 А)</t>
  </si>
  <si>
    <t>Расчётный ток однофазного КЗ Группы 2: Iкз = 0,15 кА = 150 А. Автомат QFD2 = DS201-C16. Электромагнитная отсечка характеристики «C»: 5–10×Iн = 80–160 А. 150 А &lt; 160 А — мгновенное срабатывание не гарантировано. Тепловой расцепитель при токе 150 А может превысить 0,4 с. ПУЭ 1.7.79 (t ≤ 0,4 с при 220 В); ГОСТ Р 50571.4.41.</t>
  </si>
  <si>
    <t>Заменить QFD2 на DS201-B16 (характеристика B: отсечка 48–80 А, гарантированное срабатывание при Iкз = 150 А). Альтернатива: увеличить сечение кабеля Гр.2 для повышения Iкз &gt; 160 А.</t>
  </si>
  <si>
    <t>Лист СО (БП AV24xxx) / Паспорта Stick 70, LiniLED 6×6</t>
  </si>
  <si>
    <t>БП серии 24 В для светильников 48 В</t>
  </si>
  <si>
    <t>Паспорт Stick 70: питание ⎓48 В. Паспорт LiniLED Front Light 6×6: питание ⎓48 В. Блоки питания в СО — серия AV24020/040/060/150/320IP67 (24 В). 78 шт Stick 70 + 4 шт LiniLED 6×6 = &gt;80 светильников. ПУЭ 7.1.48.</t>
  </si>
  <si>
    <t>Заменить БП для Stick 70 и LiniLED 6×6 на серию 48 В (AV48xxx или эквивалент). Разграничить в СО цепи 24 В и 48 В с указанием потребителей каждой серии.</t>
  </si>
  <si>
    <t>Лист СО поз.1 / Паспорт Marko</t>
  </si>
  <si>
    <t>Паспорт Marko — версия «Без управления», в СО — DALI</t>
  </si>
  <si>
    <t>Приложен паспорт арт. 053110WD000007042M (версия «Без управления»). Спецификация поз.1 требует DALI-версию. Артикул DALI-версии в СО не указан. ТЗ на проектирование; ГОСТ Р 21.110-2013.</t>
  </si>
  <si>
    <t>Указать артикул DALI-версии Marko в СО. Заменить справочный паспорт на корректный.</t>
  </si>
  <si>
    <t>Лист СО поз.9–12 / Паспорт Strike 70</t>
  </si>
  <si>
    <t>Паспорт Strike 70 — RGBW DMX, в СО — DALI монохром 8 Вт</t>
  </si>
  <si>
    <t>Приложен паспорт 070213WMR05Z00007042M: RGBW, DMX-RDM, 11 Вт, ~230 В. Спецификация поз.9–12: Strike 70, 8 Вт, DALI, 3000 К. Протоколы DMX и DALI несовместимы. Артикул DALI-версии в СО не указан.</t>
  </si>
  <si>
    <t>Указать артикул DALI монохромной версии Strike 70 8 Вт в СО. Заменить паспорт.</t>
  </si>
  <si>
    <t>Лист 4 (ЩНО): таблица нагрузок</t>
  </si>
  <si>
    <t>Перекос фаз: L2/L3 = 7,4×</t>
  </si>
  <si>
    <t>Нагрузки по фазам ЩНО: L1 (Гр.1) = 578 Вт, L2 (Гр.2) = 1397 Вт, L3 (Гр.3) = 190 Вт. Отношение L2/L3 = 7,4×. СП 256.1325800.2016 п.10.4 рекомендует неравномерность нагрузок не более 15%. Отклонение: L2 превышает среднее (722 Вт) на ~93%.</t>
  </si>
  <si>
    <t>Перераспределить часть нагрузки Гр.2 на фазу L3. Например, часть светильников выделить в новую Гр.4 (L3) или расширить Гр.3.</t>
  </si>
  <si>
    <t>Лист СО поз.2.1/2.2 / Лист 4 (маркировка)</t>
  </si>
  <si>
    <t>Несоответствие марок кабелей: ВБбШв vs ВБШвнг(А)-HF</t>
  </si>
  <si>
    <t>СО поз.2.2: ВБбШв (без нг, без HF). Схема ЩНО: «ВБШвнг-HF/ВБШв». ВБбШв — горючий кабель, допустим только в траншеях вне зданий. ГОСТ 31565-2012; ГОСТ 31996-2012; СП 256.1325800.2016 п.15.15.</t>
  </si>
  <si>
    <t>Разграничить марки по трассам: внутри здания и в пучках — ВБШвнг(А)-HF; в траншее вне зданий — ВБбШв допустим. Скорректировать СО.</t>
  </si>
  <si>
    <t>Лист 1 (Общие указания) / Ведомость чертежей</t>
  </si>
  <si>
    <t>Лист 6 «Таблица проверки кабелей» существует только в ссылке</t>
  </si>
  <si>
    <t>Общие указания Листа 1 ссылаются на «Лист 6 — Таблица проверки кабеля по Iдл.доп. по ГОСТ Р 50571.52-201». Ведомость чертежей: листы 1–5. Листа 6 нет. ГОСТ Р 21.101-2020; ГОСТ Р 50571.52-2012.</t>
  </si>
  <si>
    <t>Разработать и включить в комплект Лист 6 с таблицей проверки по Iдл.доп. с поправочными коэффициентами на группировку и температуру.</t>
  </si>
  <si>
    <t>Лист 4 (таблица ЩНО) — DC-линии</t>
  </si>
  <si>
    <t>Нет расчёта ΔU для DC-цепей 24 В и 48 В</t>
  </si>
  <si>
    <t>Расчёт падения напряжения выполнен только для трёх AC-групп (Гр1=2,28%, Гр2=3,30%, Гр3=0,57%). Для DC-цепей от БП до последних светильников расчёт отсутствует. Критично для длинных цепей Stick 70 (78 шт). СП 52.13330.2016; ТД производителя (допуск ΔU ≤ 3–5%).</t>
  </si>
  <si>
    <t>Выполнить расчёт ΔU для каждой DC-линии. При ΔU &gt; 3%: уменьшить длину, увеличить сечение или добавить БП.</t>
  </si>
  <si>
    <t>Расчёт освещённости Мартини Рус 2025</t>
  </si>
  <si>
    <t>Светотехнический расчёт без числовых таблиц</t>
  </si>
  <si>
    <t>Расчёт содержит только псевдоцветные карты и рендеры. Числовые таблицы Eср / Eмин / U0 по зонам отсутствуют. Нет сравнения с нормами СП 52.13330.2016: пешеходные зоны ≥10 лк, детские площадки ≥10 лк, въезды ≥20 лк. СП 52.13330.2016 табл.7.32, 7.33; ГОСТ Р 55705-2013.</t>
  </si>
  <si>
    <t>Дополнить расчёт числовыми таблицами по каждой зоне: Eср, Eмин, U0 — с указанием нормативных значений и сравнением.</t>
  </si>
  <si>
    <t>Лист СО — нет позиции запасных</t>
  </si>
  <si>
    <t>Запасные светильники в СО не предусмотрены</t>
  </si>
  <si>
    <t>В спецификации отсутствует позиция запасных светильников. Всего ~227 светильников на территории. Особенно критично для Pins IP67 (встраиваемые в настил) и Stick 70 (грунтовые): длительные сроки поставки, сложный демонтаж. МДС 81-35.2004 п.8.6 (рекомендательный); отраслевая практика.</t>
  </si>
  <si>
    <t>Добавить в СО запасные светильники: ≥2% от каждого типа (минимум 1 шт). Приоритет: Pins IP67, Stick 70, Marko.</t>
  </si>
  <si>
    <t>Лист 7 (Узел) / Лист СО (DKC 025002/025003)</t>
  </si>
  <si>
    <t>IP смотровых колодцев DKC не указан в СО и на узле</t>
  </si>
  <si>
    <t>Колодцы DKC 025002/025003 (335×240×255 мм) устанавливаются в грунт на 200 мм. IP-рейтинг в СО и на Листе 7 не указан. IP67 допускает погружение до 30 мин — не постоянный контакт с водой и не вмерзание в лёд. ГОСТ 14254-2015; ПУЭ 1.7.67.</t>
  </si>
  <si>
    <t>Указать IP колодца в СО. Выбрать DKC с подтверждённым IP67/68. Рассмотреть вынос БП в надземные тумбы или цоколи опор.</t>
  </si>
  <si>
    <t>Лист 4 (ЩНО) / Лист 2 (Спецификация, итог)</t>
  </si>
  <si>
    <t>Нагрузки ЩНО и спецификации не совпадают: 2165 Вт vs 2620 Вт</t>
  </si>
  <si>
    <t>ЩНО: Гр1+Гр2+Гр3 = 578+1397+190 = 2165 Вт (DC-мощность светильников). Спецификация: Ру = 2620 Вт (AC-мощность с учётом БП). Разница 455 Вт (~21%) объясняется КПД блоков питания ~87%: 2165 / 0,87 ≈ 2488 Вт ≈ 2620 Вт с учётом потерь. Не является ошибкой.</t>
  </si>
  <si>
    <t>Добавить примечание в таблицу нагрузок ЩНО: «Мощность по DC-нагрузке светильников; AC-мощность с учётом КПД БП ~87% — см. Ру в спецификации».</t>
  </si>
  <si>
    <t>Лист 2 (Спецификация территории)</t>
  </si>
  <si>
    <t>Пропуск порядкового номера 6 в спецификации</t>
  </si>
  <si>
    <t>Нумерация позиций: 1–5, 7–15. Позиция №6 пропущена без пояснений. ГОСТ Р 21.101-2020 п.7.3.</t>
  </si>
  <si>
    <t>Перенумеровать позиции последовательно или добавить примечание о намеренном пропуске.</t>
  </si>
  <si>
    <t>Лист СО (позиции БП)</t>
  </si>
  <si>
    <t>Артикулы БП без расшифровки мощности</t>
  </si>
  <si>
    <t>Артикулы БП в СО (AV24020IP67, AV24040IP67 и др.) — внутренние коды Мартини Рус. Выходное напряжение и мощность в столбце «Наименование» не указаны. ГОСТ Р 21.110-2013.</t>
  </si>
  <si>
    <t>Добавить в наименование: «Блок питания 24 В, XX Вт, IP67» для каждого артикула БП.</t>
  </si>
  <si>
    <t>133_23-ГК-НС.ЭМ (от 04.12.2025)</t>
  </si>
  <si>
    <t>Листы 4, 5
СО Лист 3</t>
  </si>
  <si>
    <t>Внутреннее противоречие: степень защиты розеток и выключателей на чертежах — IP54, в спецификации — IP44</t>
  </si>
  <si>
    <t>Листы 4 и 5 (условные обозначения): выключатель и розетка — IP54.
СО Лист 3 (спецификация): выключатель BA10-041B IP44 (3 шт.), розетка PA16-044B IP44 (2 шт.).
Все щитовые изделия в том же помещении — IP54 (НС.РП1/2/3, ВП1/2). Проектировщик сам квалифицировал среду как требующую IP54 — применение IP44 для розеток и выключателей внутренне непоследовательно.
• ПУЭ-7, п.2.1.44 и Табл. 2.1.3 — выбор степени защиты оборудования по классу помещения
• ГОСТ Р 21.101-2020, п.7.8 — спецификация и чертежи должны соответствовать друг другу
• ГОСТ 14254-2015 (IEC 60529) — классификация степеней защиты IP</t>
  </si>
  <si>
    <t>В СО Лист 3 заменить BA10-041B и PA16-044B (IP44) на исполнение IP54. Привести спецификацию в соответствие с чертежами.</t>
  </si>
  <si>
    <t>Сертификаты ОКЛ
 (Листы 16–27 PDF)</t>
  </si>
  <si>
    <t>Срок действия сертификата соответствия ОКЛ ПРОМРУКАВ истёк до начала строительно-монтажных работ</t>
  </si>
  <si>
    <t>Сертификат соответствия системы ОКЛ ПРОМРУКАВ серий ГТ, ЖТ, МР, ЛМ (№ ССБК RU.ПБ10.Н00477, ПС 006784) действителен до 18.10.2025. Последнее изменение проекта — редакция 3727/25 от 01.2026. Монтаж кабельных трасс СПЗ и ВПВ в составе ОКЛ запланирован на 2026 год. Применение ОКЛ с просроченным сертификатом противоречит требованиям Федерального закона № 123-ФЗ «Технический регламент о требованиях пожарной безопасности», ст. 82, и делает систему противопожарной защиты юридически неверифицированной.</t>
  </si>
  <si>
    <t>До начала монтажа кабельных трасс ОКЛ получить у производителя (ООО «Нептун» / ПРОМРУКАВ) актуальный сертификат соответствия. Включить документ в комплект рабочей документации взамен листов 16–27. Альтернатива — выбор иного производителя ОКЛ с действующим сертификатом ССБК.</t>
  </si>
  <si>
    <t>Листы 5 «Распределительные сети», 6 «Кабеленесущие системы», СО Лист 3</t>
  </si>
  <si>
    <t>На планах трасс не обозначены участки лотков, требующие установки разделительных перегородок между взаиморезервируемыми кабелями</t>
  </si>
  <si>
    <t>Спецификацией (СО лист 3) предусмотрено 22 перегородки для лотка Н50. Примечание 8 к листу 5 и примечание 3 к листу 6 прямо устанавливают: «прокладка взаиморезервируемых кабелей выполняется в одном лотке через металлическую сплошную перегородку». Общие данные (лист 2, раздел 2) также ссылаются на ПУЭ-7 пп.2.1.15–2.1.16 как на основание для разделения. Таким образом, проектировщик требование зафиксировал в трёх местах комплекта, однако на плане кабеленесущих систем (лист 6) ни одного участка лотка с перегородкой не обозначено — отсутствует как условное обозначение, так и привязка к конкретным трассам. Монтажная организация лишена возможности определить, на каких участках лотков перегородки должны быть установлены. Взаиморезервируемые пары по схеме (лист 3): ХВС н.п. (QF1.1 / Q2.1), ХВС ж.п. (Q2.2 / QF1.2), ДН1/ДН2 (QF1.3 / Q2.3), ВПВ раб./рез. (Q3.3 / Q3.4). Дополнительно: в спецификации не указан предел огнестойкости перегородок, требуемый ПУЭ-7 п.2.1.16 (не менее 0,25 ч).</t>
  </si>
  <si>
    <t>На листе 6 ввести условное обозначение «участок лотка с разделительной перегородкой» и нанести все зоны совместной прокладки взаиморезервируемых пар. В спецификации (СО лист 3) добавить к позиции «Перегородка для лотка Н50» характеристику: предел огнестойкости не менее 0,25 ч (EI15) из несгораемого материала</t>
  </si>
  <si>
    <t>Лист 3
«Схема расчётная однолинейная ВРУ-НС»
Блок АВР-301</t>
  </si>
  <si>
    <t>На схеме ВРУ-НС не нормировано максимально допустимое время переключения АВР-301 для потребителей I категории надёжности (ВПВ, СПЗ)</t>
  </si>
  <si>
    <t>Блок АВР-301 25А обеспечивает питание РП3 (ППУ)
Для данных потребителей время восстановления питания является нормируемым параметром. В примечаниях к схеме и в техническом описании (лист 2) это значение не указано и не согласовано с логикой автоматики раздела 133/23-ГК-НС.АК.
Согласно общим данным (лист 2): «потребители без технологического резерва питаются через АВР» — следовательно, время переключения АВР напрямую определяет выполнение требования I категории для этих цепей. 
• ПУЭ-7, п.1.2.17, п.1.2.19 — определение I категории и требование к автоматическому восстановлению питания
• СП 10.13130.2020, п.4.1.12 — время пуска насосов ВПВ не более 10 с от командного сигнала
• СП 484.1311500.2020 — требования к электропитанию систем СПЗ</t>
  </si>
  <si>
    <t xml:space="preserve">Добавить в примечания к схеме (лист 3) максимально допустимое время переключения АВР-301.
Значение определить исходя из нормируемого времени пуска насосов ВПВ (не более 10 с по СП 10.13130.2020 п.4.1.12) за вычетом времени срабатывания автоматики запуска по разделу 133/23-ГК-НС.АК.
Согласовать с разработчиком раздела АК.
</t>
  </si>
  <si>
    <t>Лист 2 «Общие данные (окончание)», раздел 2 «Распределительные и групповые сети»</t>
  </si>
  <si>
    <t>В общих данных РД отсутствует поимённый перечень потребителей с указанием категории надёжности электроснабжения и способа её обеспечения</t>
  </si>
  <si>
    <t>В разделе 2 (лист 2) декларируется: электроприёмники НС относятся «в основном» ко II категории; I категория обеспечена технологическим резервом; потребители без технологического резерва питаются через АВР. При этом конкретный перечень потребителей с указанием категории и механизма резервирования в составе РД не приведён. Из схемы (лист 3) механизм различается принципиально: ВПВ и ХВС получают I/II категорию через технологический резерв (рабочий + резервный насос в шкафах управления); шкафы автоматики, СПЗ, аварийное освещение — не имеют технологического резерва и питаются через АВР-301. Без явного перечня монтажная организация и технический надзор не могут верифицировать соответствие схемы питания заявленным категориям для каждого приёмника.
ПУЭ-7 п.1.2.18–1.2.20 — определения категорий надёжности и допустимых перерывов (проектировщик обязан был установить категорию для каждого приёмника при проектировании); ГОСТ Р 21.101-2020 п.4.13 — общие данные должны содержать сведения, необходимые для выполнения работ</t>
  </si>
  <si>
    <t>Добавить в раздел «Общие данные» таблицу с колонками: наименование потребителя — категория надёжности — способ обеспечения резервирования (технологический резерв / АВР / ИБП / без резерва)</t>
  </si>
  <si>
    <t>Листы 4 и 5
 Экспликации помещений</t>
  </si>
  <si>
    <t>Расхождение площади помещения насосной между листами проекта</t>
  </si>
  <si>
    <t>В экспликации помещений на листе 4 (Электроосвещение) площадь помещения № 8 «Насосная» указана равной 105,79 м². В экспликации на листе 5 (Распределительные сети) та же насосная имеет площадь 105,14 м². Расхождение составляет 0,65 м². Внутренние несоответствия в РД недопустимы согласно ГОСТ Р 21.101-2020.</t>
  </si>
  <si>
    <t>Привести площадь помещения во всех экспликациях к единому значению, согласованному с разделом 133/23-ГК-АС. Исправить соответствующий лист.</t>
  </si>
  <si>
    <t>Лист 3
Схема ВРУ-НС
Токи КЗ</t>
  </si>
  <si>
    <t>Токи КЗ на схеме соответствуют шинам ГРЩ, а не шинам ВРУ-НС</t>
  </si>
  <si>
    <t>На схеме (лист 3) на обоих вводах: Iкз3ф = 1,74 кА, Iкз1ф = 0,87 кА, Iуд = 2,46 кА. Соотношение 3ф/1ф = ровно 2,0 — характерный признак значений из ТУ на присоединение, а не расчётных с учётом вводного кабеля.
С учётом кабеля ППГнг(А)-HF 5×16 L=130 м (сопротивление петли ≈ 0,30 Ом) фактические токи на шинах ВРУ-НС существенно ниже (Iкз3ф ≈ 0,85 кА, Iкз1ф ≈ 0,49 кА).
Условие надёжного отключения QF1/QF2 C40А при КЗ выполняется. Однако некорректная подпись токов создаёт риск ошибочного выбора аппаратов при расширении объекта.</t>
  </si>
  <si>
    <t>Пересчитать токи КЗ на шинах ВРУ-НС с учётом сопротивления кабеля ППГнг(А)-HF 5×16 L=130 м и проставить расчётные значения на схеме.
Прежние значения (шины ГРЩ) — убрать или сохранить с явной подписью точки расчёта.</t>
  </si>
  <si>
    <t>133_23-ГК-ГРЩ (от 29.01.2026)</t>
  </si>
  <si>
    <t>Лист 3 (однолинейная схема); Лист 10 (узлы раскладки)</t>
  </si>
  <si>
    <t>Противоречие между листами: сечение кабеля М-2.3 (ВРУ-3, ввод №2) указано по-разному, причём вариант на схеме нелогичен относительно расчётного тока</t>
  </si>
  <si>
    <t>Исправить сечение М-2.3 на листе 3 однолинейной схемы: привести в соответствие с листом 10 и вводом №1 — 4×(1×50)+(1×35). Унификация сечений обоих вводов ВРУ-3 упрощает закупку и монтаж. Проверить спецификацию оборудования (СО) на предмет корректности указанного сечения для М-2.3.</t>
  </si>
  <si>
    <t>СО (лист 2); Лист 3 (прим. 17)</t>
  </si>
  <si>
    <t>Кабель цепей учёта предусмотрен схемой, но отсутствует в спецификации</t>
  </si>
  <si>
    <t>Примечание 17 к схеме ГРЩ: «подключение счётчиков к ТТ выполнить кабелем КППГнг(А)-HF 10×2.5 в трубе ПВХ без разрывов». В СО (лист 2) кабель и труба ПВХ полностью отсутствуют. При 12 группах ТТ ориентировочная потребность: 50–80 м кабеля. ПУЭ-7 п.1.5.19 требует прокладки цепей учёта без разрывов отдельным кабелем.</t>
  </si>
  <si>
    <t>Добавить в СО: КППГнг(А)-HF 10×2.5 (объём по замеру трасс) + труба ПВХ Ø20 мм. Объём уточнить по компоновке ЩУ-12/Т и ЩУ-2/Т.</t>
  </si>
  <si>
    <t>Лист 3 (таблица ТТ)</t>
  </si>
  <si>
    <t>Аварийный трансформатор тока 600/5А насыщается при зимнем аварийном токе</t>
  </si>
  <si>
    <t>Аварийный ТТ ВП1 и ВП2: 600/5А. Зимний аварийный ток ВП1: 986А, ВП2: 1000А. РМ-2559 п.6.3 требует: Iн1тт×1.2 ≥ Iр.авар. Расчёт: 600×1.2=720А — ниже 986А. Условие не выполнено. ТТ 600/5А входит в насыщение при зимней аварии. Рабочий ТТ 1000/5А: 1000×1.2=1200А &gt; 986А — подобран верно.</t>
  </si>
  <si>
    <t>Заменить аварийный ТТ с 600/5А на 1000/5А класса 0.5S. Обновить таблицу выбора ТТ на листе 3.</t>
  </si>
  <si>
    <t>Лист 3
(таблица ТТ)</t>
  </si>
  <si>
    <t>Заголовки столбцов рабочего и аварийного токов переставлены — корневая причина ошибки №12</t>
  </si>
  <si>
    <t>В таблице выбора ТТ два расчётных столбца:
• «Iр.раб» = 986,66 А (ВП1) и 999,75 А (ВП2)
• «Iр.авар (пож.)» = 683,24 А (ВП1) и 658,66 А (ВП2)
Сверка с таблицей нагрузок того же листа:
• 683,24 А = РП1, рабочий режим-лето → это РАБОЧИЙ ток
• 986,66 А = РП1, аварийный режим-зима → это АВАРИЙНЫЙ ток
Заголовки перепутаны: значения верные, подписи — нет.
Именно это привело к ошибке в замечании №12:
проектировщик думал, что «аварийный» ток = 683 А, выбрал ТТ 600/5А (720 А &gt; 683 А — условие выполнено). На самом деле аварийный ток = 986 А, и ТТ 600/5А его не выдерживает.</t>
  </si>
  <si>
    <t>Исправить заголовки в таблице ТТ (лист 3):
• «Iр.раб» → «Iр.авар (зима)»
• «Iр.авар (пож.)» → «Iр.раб (лето)»
Добавить сноску: «Iр.раб — летний рабочий режим с ККУ; Iр.авар — зимний аварийный режим с ККУ».
После исправления заголовков — пересмотреть выбор аварийного ТТ (см. замечание №12).</t>
  </si>
  <si>
    <t>Лист 3; Лист 10</t>
  </si>
  <si>
    <t>Режим перегрузки кабеля ВРУ-4 не задокументирован в проекте</t>
  </si>
  <si>
    <t>При аварии (отключение одного из двух трансформаторов) вся нагрузка паркинга переходит на одну нитку кабеля. Аварийный ток составляет 395,7 А (из таблицы нагрузок проекта).
Допустимый ток кабеля ППГнг(А)-HF 1×240 мм² в лотке:
• Базовый ток: 477 А (изоляция 70°C; у оппонента 590 А — это данные для СПЭ 90°C, ошибка)
• Коэффициент группировки: K = 0,75 (на лотке 11 кабелей — ПУЭ-7 табл.1.3.26;
  аудитор взял K = 0,80, что соответствует 7–9 кабелям — занижение)
• Iдоп = 477 × 0,75 = 358 А → аварийный ток превышает на 10,6%
Превышение допустимо как режим перегрузки (ГОСТ 31996-2012 п.10.9, коэффициент 1,16):
358 × 1,16 = 415 А &gt; 395,7 А — формально кабель выдерживает.
НО: этот режим нигде в проекте не обозначен и не ограничен.</t>
  </si>
  <si>
    <t>Вариант А (рекомендуется): добавить 5-й кабель 1×240 на нитку — ток распределится, превышения не будет.
Вариант Б: зафиксировать в общих данных проекта, что аварийный режим является режимом перегрузки по ГОСТ 31996-2012 п.10.9, с условиями эксплуатации, согласованными с УК.
(Ограничение «6 часов» — нереализуемо: замена трансформатора занимает больше суток.)
Дополнительно: исправить K = 0,80 → 0,75 в расчётной документации.</t>
  </si>
  <si>
    <t>Лист 3</t>
  </si>
  <si>
    <t>Все 12 групп ТТ в ЩУ-12/Т имеют одинаковые позиционные обозначения при разных коэффициентах трансформации</t>
  </si>
  <si>
    <t>В схеме шкафа ЩУ-12/Т для 12-ти различных групп учета используются идентичные буквенно-цифровые обозначения «TA1.1», «TA1.2», «TA1.3». При этом группы имеют различные коэффициенты трансформации (500/5, 300/5, 400/5, 100/5, 200/5, 30/5) и относятся к разным вводам. Это противоречит требованиям ГОСТ 2.710-81 и ПУЭ-7 п.1.1.29 по однозначной идентификации элементов.</t>
  </si>
  <si>
    <t>Присвоить уникальные обозначения: TA1.4–TA1.6 (ВРУ-1, с.1), TA1.7–TA1.9 (ВРУ-2, с.1) и т.д. Обновить схему и таблицу ТТ.</t>
  </si>
  <si>
    <t>Расчётный ток однофазного КЗ линии ВРУ-НС расходится с независимой проверкой на 47%</t>
  </si>
  <si>
    <t>По схеме (лист 3): Iкз(1) ВРУ-НС = 1.109–1.198 кА при L=130 м, S=16 мм². Независимая проверка с учётом входного сопротивления ГРЩ и сопротивления кабельной петли даёт 753А. Расхождение: 47%. При 753А отсечка ВА-332А 50А (уставка 250А) срабатывает, однако трёхкратный запас по кратности отсутствует — надёжность при переходных сопротивлениях снижена.</t>
  </si>
  <si>
    <t>Предоставить расчётный файл с методикой. Подтвердить надёжность срабатывания отсечки при Iкз(1)=753А. Главный практический риск — не сам факт расхождения, а то, какую уставку отсечки выбрал проектировщик</t>
  </si>
  <si>
    <t>Лист 3; Лист 6</t>
  </si>
  <si>
    <t>Фактический перекос токов по фазам ЩСН составляет 97%, что многократно превышает норму</t>
  </si>
  <si>
    <t>На схеме ЩСН (лист 6): фаза A — 0.21А, фаза B — 1.2А, фаза C — 7А. Фактический перекос: 97%. ГОСТ 32144-2013 п.5.3 устанавливает предельно допустимое значение несимметрии 4%. Нарушение зафиксировано в документации. Нейтральный проводник несёт ненормированный ток.</t>
  </si>
  <si>
    <t>Перераспределить нагрузки: конвектор (фаза C, 7А) и ЯТПР (фаза B) перенести на менее загруженные фазы. Привести перекос к не более 15%.</t>
  </si>
  <si>
    <t>Количество N/PE жил в обозначении кабеля ВРУ-1 не совпадает между схемой и узлами раскладки</t>
  </si>
  <si>
    <t>Унифицировать обозначение на всех листах. Явно указать количество N и PE жил раздельно.</t>
  </si>
  <si>
    <t>Установленные мощности вводов ВРУ-4 различаются вдвое, коэффициенты спроса — в 2.5 раза без обоснования</t>
  </si>
  <si>
    <t>Ввод №1: Ру=339 кВт, Кс=0.34, Рр=114 кВт. 
Ввод №2: Ру=155 кВт, Кс=0.84, Рр=129 кВт. 
Кс=0.84 для паркинга нетипично высок. 
Источник расхождения в документации не указан.</t>
  </si>
  <si>
    <t>Уточнить состав нагрузок по секциям паркинга. Обосновать Кс=0.84 для ввода №2.</t>
  </si>
  <si>
    <t>Класс точности 0.5S не указан для шести трансформаторов тока расчётного учёта</t>
  </si>
  <si>
    <t>TA1.1–TA1.9 и TA2.1–TA2.9: «кл.т. 0.5S» указан явно. TA1.10–TA1.12, TA2.10–TA2.12: обозначение «3хТШП-0,66» без указания класса. ПУЭ-7 п.1.5.16: ТТ для расчётного коммерческого учёта должны быть не хуже класса 0.5S.</t>
  </si>
  <si>
    <t>Добавить «кл.т. 0.5S» к TA1.10–TA1.12 и TA2.10–TA2.12. Подтвердить наличие данного класса в выбранных ТШП-0,66.</t>
  </si>
  <si>
    <r>
      <t xml:space="preserve">В сводной спецификации металла допущены некорректные расчеты: значения в колонке «Масса» не соответствуют значениям в колонке «Длина, м.п.» при умножении на теоретический вес по ГОСТ. 
Проектировщик суммировал длину перемычек как «изделий», но массу считал исходя из общего количества стальных профилей (двух уголков или четырех стержней арматуры на проем).
Пример: Жилой дом, уголок 40х5, длина </t>
    </r>
    <r>
      <rPr>
        <b/>
        <sz val="11"/>
        <color theme="1"/>
        <rFont val="Arial"/>
        <family val="2"/>
        <charset val="204"/>
      </rPr>
      <t>260,1 м.п</t>
    </r>
    <r>
      <rPr>
        <sz val="11"/>
        <color theme="1"/>
        <rFont val="Arial"/>
        <family val="2"/>
        <charset val="204"/>
      </rPr>
      <t xml:space="preserve">, </t>
    </r>
    <r>
      <rPr>
        <b/>
        <sz val="11"/>
        <color theme="1"/>
        <rFont val="Arial"/>
        <family val="2"/>
        <charset val="204"/>
      </rPr>
      <t>масса 1258,88</t>
    </r>
    <r>
      <rPr>
        <sz val="11"/>
        <color theme="1"/>
        <rFont val="Arial"/>
        <family val="2"/>
        <charset val="204"/>
      </rPr>
      <t>. Согласно ГОСТ 21.501-2018, в спецификации металла должа указываться суммарная длина всего проката в позиции.</t>
    </r>
  </si>
  <si>
    <r>
      <t>При формировании Сводной спецификации материалов полов (Лист 93) допущена грубая математическая ошибка подсчета. Были сложены числовые значения из таблиц поэтажных планов, полностью игнорируя примечание «*Спецификация представлена для одного этажа», которое указано на чертежах типовых этажей.
Пример для одного плинтуса:</t>
    </r>
    <r>
      <rPr>
        <b/>
        <sz val="11"/>
        <color theme="1"/>
        <rFont val="Arial"/>
        <family val="2"/>
        <charset val="204"/>
      </rPr>
      <t xml:space="preserve"> </t>
    </r>
    <r>
      <rPr>
        <b/>
        <sz val="11"/>
        <color rgb="FFFF0000"/>
        <rFont val="Arial"/>
        <family val="2"/>
        <charset val="204"/>
      </rPr>
      <t>ПЛ2 = 517,94 м.п</t>
    </r>
    <r>
      <rPr>
        <sz val="11"/>
        <color theme="1"/>
        <rFont val="Arial"/>
        <family val="2"/>
        <charset val="204"/>
      </rPr>
      <t xml:space="preserve"> - является неумноженная сумма строк с поэтажных листов: 44,35 (1 эт.) + 78,06 (2,3,4 эт.) + 64,45 (5-9 эт.) + 51,31 (7 эт.) + 64,40 (10 эт.) + 66,43 (11,12 эт.) + 66,43 (13 эт.) + 46,59 (14 эт.) + 35,94 (15 эт.) = 517,96 м.п.
Фактический объем с учетом умножения на количество этажей должен составлять: 44,35 + (78,06 × 3) + (64,45 × 4) + 51,31 + 64,40 + (66,43 × 2) + 66,43 + 46,59 + 35,94 = </t>
    </r>
    <r>
      <rPr>
        <b/>
        <sz val="11"/>
        <color rgb="FF1155CC"/>
        <rFont val="Arial"/>
        <family val="2"/>
        <charset val="204"/>
      </rPr>
      <t>933,86 м.п</t>
    </r>
    <r>
      <rPr>
        <sz val="11"/>
        <color rgb="FF1155CC"/>
        <rFont val="Arial"/>
        <family val="2"/>
        <charset val="204"/>
      </rPr>
      <t xml:space="preserve">.
</t>
    </r>
    <r>
      <rPr>
        <sz val="11"/>
        <color theme="1"/>
        <rFont val="Arial"/>
        <family val="2"/>
        <charset val="204"/>
      </rPr>
      <t>Аналогичная ошибка допущена для плинтуса ПЛ1.</t>
    </r>
  </si>
  <si>
    <r>
      <t xml:space="preserve">В рабочей документации на одном листе допущено разночтение характеристик материала:
В таблице спецификации для марки ДС1 указано стекло Factory UltraClear® (маркировка осветленного прозрачного стекла).
На детальном эскизе этого же изделия (ДС-1) указано: «Стекло матовое 8 мм».
Наличие противоречивых указаний делает невозможным однозначный заказ изделий. Учитывая функциональное назначение помещений (общественные раздевалки Павильона №1), применение </t>
    </r>
    <r>
      <rPr>
        <b/>
        <sz val="11"/>
        <color theme="1"/>
        <rFont val="Arial"/>
        <family val="2"/>
        <charset val="204"/>
      </rPr>
      <t>прозрачного</t>
    </r>
    <r>
      <rPr>
        <sz val="11"/>
        <color theme="1"/>
        <rFont val="Arial"/>
        <family val="2"/>
        <charset val="204"/>
      </rPr>
      <t xml:space="preserve"> остекления в душевых кабинах является ошибочным.</t>
    </r>
  </si>
  <si>
    <r>
      <t xml:space="preserve">Для позиции ДВ35П, представляющей собой сетчатую дверь в составе металлического </t>
    </r>
    <r>
      <rPr>
        <b/>
        <sz val="11"/>
        <color theme="1"/>
        <rFont val="Arial"/>
        <family val="2"/>
        <charset val="204"/>
      </rPr>
      <t>ограждения</t>
    </r>
    <r>
      <rPr>
        <sz val="11"/>
        <color theme="1"/>
        <rFont val="Arial"/>
        <family val="2"/>
        <charset val="204"/>
      </rPr>
      <t xml:space="preserve">, указана ссылка на ГОСТ 31173-2016. Однако конструкция из сетки и уголков прямо противоречит области применения и техническим требованиям данного стандарта.
Раздел 1 "Настоящий стандарт распространяется на дверные стальные блоки... предназначенные для установки в наружних и внутренних </t>
    </r>
    <r>
      <rPr>
        <b/>
        <sz val="11"/>
        <color theme="1"/>
        <rFont val="Arial"/>
        <family val="2"/>
        <charset val="204"/>
      </rPr>
      <t>СТЕНАХ</t>
    </r>
    <r>
      <rPr>
        <sz val="11"/>
        <color theme="1"/>
        <rFont val="Arial"/>
        <family val="2"/>
        <charset val="204"/>
      </rPr>
      <t xml:space="preserve"> зданий..." - ДВ35П в составе ограждения.</t>
    </r>
  </si>
  <si>
    <r>
      <rPr>
        <b/>
        <sz val="11"/>
        <color theme="1"/>
        <rFont val="Calibri"/>
        <family val="2"/>
        <charset val="204"/>
      </rPr>
      <t>На листе 3</t>
    </r>
    <r>
      <rPr>
        <sz val="11"/>
        <color theme="1"/>
        <rFont val="Calibri"/>
        <family val="2"/>
        <charset val="204"/>
      </rPr>
      <t xml:space="preserve"> (однолинейная схема) для линии </t>
    </r>
    <r>
      <rPr>
        <b/>
        <sz val="11"/>
        <color theme="1"/>
        <rFont val="Calibri"/>
        <family val="2"/>
        <charset val="204"/>
      </rPr>
      <t>М-2.3</t>
    </r>
    <r>
      <rPr>
        <sz val="11"/>
        <color theme="1"/>
        <rFont val="Calibri"/>
        <family val="2"/>
        <charset val="204"/>
      </rPr>
      <t xml:space="preserve"> (ВРУ-3 ввод №2) указано сечение </t>
    </r>
    <r>
      <rPr>
        <b/>
        <sz val="11"/>
        <color theme="1"/>
        <rFont val="Calibri"/>
        <family val="2"/>
        <charset val="204"/>
      </rPr>
      <t>4×(1×70)+(1×50),</t>
    </r>
    <r>
      <rPr>
        <sz val="11"/>
        <color theme="1"/>
        <rFont val="Calibri"/>
        <family val="2"/>
        <charset val="204"/>
      </rPr>
      <t xml:space="preserve"> Iр=49,04А в нормальном режиме, Iавар.=99,36А. 
</t>
    </r>
    <r>
      <rPr>
        <b/>
        <sz val="11"/>
        <color theme="1"/>
        <rFont val="Calibri"/>
        <family val="2"/>
        <charset val="204"/>
      </rPr>
      <t>На листе 10</t>
    </r>
    <r>
      <rPr>
        <sz val="11"/>
        <color theme="1"/>
        <rFont val="Calibri"/>
        <family val="2"/>
        <charset val="204"/>
      </rPr>
      <t xml:space="preserve"> (узлы раскладки) та же линия </t>
    </r>
    <r>
      <rPr>
        <b/>
        <sz val="11"/>
        <color theme="1"/>
        <rFont val="Calibri"/>
        <family val="2"/>
        <charset val="204"/>
      </rPr>
      <t>М-2.3</t>
    </r>
    <r>
      <rPr>
        <sz val="11"/>
        <color theme="1"/>
        <rFont val="Calibri"/>
        <family val="2"/>
        <charset val="204"/>
      </rPr>
      <t xml:space="preserve"> показана сечением </t>
    </r>
    <r>
      <rPr>
        <b/>
        <sz val="11"/>
        <color theme="1"/>
        <rFont val="Calibri"/>
        <family val="2"/>
        <charset val="204"/>
      </rPr>
      <t>4×(1×50)+1×35</t>
    </r>
    <r>
      <rPr>
        <sz val="11"/>
        <color theme="1"/>
        <rFont val="Calibri"/>
        <family val="2"/>
        <charset val="204"/>
      </rPr>
      <t>. 
Одновременно ввод №1 (М-1.3) с бо́льшим расчётным током</t>
    </r>
    <r>
      <rPr>
        <b/>
        <sz val="11"/>
        <color theme="1"/>
        <rFont val="Calibri"/>
        <family val="2"/>
        <charset val="204"/>
      </rPr>
      <t xml:space="preserve"> Iр=70,01А</t>
    </r>
    <r>
      <rPr>
        <sz val="11"/>
        <color theme="1"/>
        <rFont val="Calibri"/>
        <family val="2"/>
        <charset val="204"/>
      </rPr>
      <t xml:space="preserve"> на обоих листах имеет сечение </t>
    </r>
    <r>
      <rPr>
        <b/>
        <sz val="11"/>
        <color theme="1"/>
        <rFont val="Calibri"/>
        <family val="2"/>
        <charset val="204"/>
      </rPr>
      <t>4×(1×50)+1×35.</t>
    </r>
    <r>
      <rPr>
        <sz val="11"/>
        <color theme="1"/>
        <rFont val="Calibri"/>
        <family val="2"/>
        <charset val="204"/>
      </rPr>
      <t xml:space="preserve"> 
Таким образом, линия с меньшим током (</t>
    </r>
    <r>
      <rPr>
        <b/>
        <sz val="11"/>
        <color theme="1"/>
        <rFont val="Calibri"/>
        <family val="2"/>
        <charset val="204"/>
      </rPr>
      <t>49А</t>
    </r>
    <r>
      <rPr>
        <sz val="11"/>
        <color theme="1"/>
        <rFont val="Calibri"/>
        <family val="2"/>
        <charset val="204"/>
      </rPr>
      <t>) получила на схеме бо́льшее сечение (</t>
    </r>
    <r>
      <rPr>
        <b/>
        <sz val="11"/>
        <color theme="1"/>
        <rFont val="Calibri"/>
        <family val="2"/>
        <charset val="204"/>
      </rPr>
      <t>70 мм²</t>
    </r>
    <r>
      <rPr>
        <sz val="11"/>
        <color theme="1"/>
        <rFont val="Calibri"/>
        <family val="2"/>
        <charset val="204"/>
      </rPr>
      <t>), чем линия с бо́льшим током (70А) — это прямое противоречие, свидетельствующее об ошибке на листе 3, а не об осознанном проектном решении. 
Вариант из узлов раскладки (</t>
    </r>
    <r>
      <rPr>
        <b/>
        <sz val="11"/>
        <color theme="1"/>
        <rFont val="Calibri"/>
        <family val="2"/>
        <charset val="204"/>
      </rPr>
      <t>50 мм²</t>
    </r>
    <r>
      <rPr>
        <sz val="11"/>
        <color theme="1"/>
        <rFont val="Calibri"/>
        <family val="2"/>
        <charset val="204"/>
      </rPr>
      <t xml:space="preserve">) технически корректен: допустимый длительный ток кабеля </t>
    </r>
    <r>
      <rPr>
        <b/>
        <sz val="11"/>
        <color theme="1"/>
        <rFont val="Calibri"/>
        <family val="2"/>
        <charset val="204"/>
      </rPr>
      <t>ППГнг(A)-HF 1×50</t>
    </r>
    <r>
      <rPr>
        <sz val="11"/>
        <color theme="1"/>
        <rFont val="Calibri"/>
        <family val="2"/>
        <charset val="204"/>
      </rPr>
      <t xml:space="preserve"> мм² составляет ≈</t>
    </r>
    <r>
      <rPr>
        <b/>
        <sz val="11"/>
        <color theme="1"/>
        <rFont val="Calibri"/>
        <family val="2"/>
        <charset val="204"/>
      </rPr>
      <t>140–160</t>
    </r>
    <r>
      <rPr>
        <sz val="11"/>
        <color theme="1"/>
        <rFont val="Calibri"/>
        <family val="2"/>
        <charset val="204"/>
      </rPr>
      <t xml:space="preserve">А по ГОСТ 31996-2012, что перекрывает аварийный ток </t>
    </r>
    <r>
      <rPr>
        <b/>
        <sz val="11"/>
        <color theme="1"/>
        <rFont val="Calibri"/>
        <family val="2"/>
        <charset val="204"/>
      </rPr>
      <t>99,36</t>
    </r>
    <r>
      <rPr>
        <sz val="11"/>
        <color theme="1"/>
        <rFont val="Calibri"/>
        <family val="2"/>
        <charset val="204"/>
      </rPr>
      <t>А с достаточным запасом.</t>
    </r>
  </si>
  <si>
    <r>
      <t xml:space="preserve">Схема (лист 3): «ППГнг(A)-HF 2×(4×(1×185))+1×(1×185)» — </t>
    </r>
    <r>
      <rPr>
        <b/>
        <sz val="11"/>
        <color theme="1"/>
        <rFont val="Arial"/>
        <family val="2"/>
        <charset val="204"/>
      </rPr>
      <t>1 жила N/PE</t>
    </r>
    <r>
      <rPr>
        <sz val="11"/>
        <color theme="1"/>
        <rFont val="Arial"/>
        <family val="2"/>
        <charset val="204"/>
      </rPr>
      <t xml:space="preserve"> на нитку. 
Узлы раскладки (лист 10): «2×4×(1×185)+2×(1×185)» — </t>
    </r>
    <r>
      <rPr>
        <b/>
        <sz val="11"/>
        <color theme="1"/>
        <rFont val="Arial"/>
        <family val="2"/>
        <charset val="204"/>
      </rPr>
      <t>2 жилы N/PE</t>
    </r>
    <r>
      <rPr>
        <sz val="11"/>
        <color theme="1"/>
        <rFont val="Arial"/>
        <family val="2"/>
        <charset val="204"/>
      </rPr>
      <t xml:space="preserve"> на нитку. 
Расхождение создаёт неопределённость при нарезке кабеля и монтаже.</t>
    </r>
  </si>
  <si>
    <t>СУ-10</t>
  </si>
  <si>
    <t>Комментарий</t>
  </si>
  <si>
    <t>ОЛИМПРОЕКТ</t>
  </si>
  <si>
    <t>СЕВЕРИН</t>
  </si>
  <si>
    <t>ЗАСТРОЙЩИК</t>
  </si>
  <si>
    <t>Критическая</t>
  </si>
  <si>
    <t>Эксплуатационная</t>
  </si>
  <si>
    <t>Проверить по смежным</t>
  </si>
  <si>
    <t>Отклонено</t>
  </si>
  <si>
    <t>Позиция Застройщика по замечаниям СУ-10</t>
  </si>
  <si>
    <t>ИТОГО</t>
  </si>
  <si>
    <t>По согласованию Заказчика</t>
  </si>
  <si>
    <t>Требует внесения</t>
  </si>
  <si>
    <t>Внесено</t>
  </si>
  <si>
    <r>
      <t xml:space="preserve">Нарушение требований ФЗ-123 и СП 17.13330.2017 по защите узлов водостока негорючими материалами.
</t>
    </r>
    <r>
      <rPr>
        <b/>
        <sz val="11"/>
        <color theme="1"/>
        <rFont val="Arial"/>
        <family val="2"/>
        <charset val="204"/>
      </rPr>
      <t>Ответ с объекта: Данное решение согласовал Заказчик и оно применимо, тип кровли Инверсионная</t>
    </r>
  </si>
  <si>
    <r>
      <t xml:space="preserve">В проекте приняты инверсионные эксплуатируемые кровли (Типы К1, К1.1, К2, К2.1). Согласно Листу 12 и Узлу Б (Лист 11.2), в качестве основного теплоизоляционного слоя используется экструдированный пенополистирол (XPS) Carbon Prof, который имеет группу горючести Г3/Г4. На чертежах </t>
    </r>
    <r>
      <rPr>
        <b/>
        <sz val="11"/>
        <color theme="1"/>
        <rFont val="Arial"/>
        <family val="2"/>
        <charset val="204"/>
      </rPr>
      <t>XPS уложен вплотную к корпусу водосточной воронки</t>
    </r>
    <r>
      <rPr>
        <sz val="11"/>
        <color theme="1"/>
        <rFont val="Arial"/>
        <family val="2"/>
        <charset val="204"/>
      </rPr>
      <t xml:space="preserve"> (например, HL 62.1BH). Противопожарные рассечки из негорючего материала (НГ) вокруг воронок на планах разуклонки (Листы 4, 5) и в узлах отсутствуют.
- Прямое нарушение ФЗ 123, статья 6, статья 137 п.1.
- Наличие обращения к СП 17.13330.2017 - АР 5 лист 14, примечание. (И его нарушение по п. 5.2.4)</t>
    </r>
  </si>
  <si>
    <r>
      <t xml:space="preserve">Чтобы сохранить инверсионную схему (утеплитель поверх гидроизоляции) и выполнить нормы пожарной безопасности, необходимо применить комбинированное решение:
</t>
    </r>
    <r>
      <rPr>
        <b/>
        <sz val="11"/>
        <color theme="1"/>
        <rFont val="Arial"/>
        <family val="2"/>
        <charset val="204"/>
      </rPr>
      <t>Замена материала в зоне рассечки:</t>
    </r>
    <r>
      <rPr>
        <sz val="11"/>
        <color theme="1"/>
        <rFont val="Arial"/>
        <family val="2"/>
        <charset val="204"/>
      </rPr>
      <t xml:space="preserve"> В радиусе 500 мм от центра воронки (габарит зоны 1000х1000 мм или 1200х1200 мм под кратность плит) заменить XPS на негорючий утеплитель.
</t>
    </r>
    <r>
      <rPr>
        <b/>
        <sz val="11"/>
        <color theme="1"/>
        <rFont val="Arial"/>
        <family val="2"/>
        <charset val="204"/>
      </rPr>
      <t>- Вариант А (наилучший для инверсии)</t>
    </r>
    <r>
      <rPr>
        <sz val="11"/>
        <color theme="1"/>
        <rFont val="Arial"/>
        <family val="2"/>
        <charset val="204"/>
      </rPr>
      <t xml:space="preserve">: Пеностекло (ИЗОСТЕК). Проектом уже предусмотрено использование пеностекла (бортики на Листе 11.2, поз. 8.4 в спецификации). Пеностекло является негорючим (НГ) и имеет нулевое водопоглощение. Это идеальное решение для инверсионной кровли, так как оно не теряет свойств в воде.
</t>
    </r>
    <r>
      <rPr>
        <b/>
        <sz val="11"/>
        <color theme="1"/>
        <rFont val="Arial"/>
        <family val="2"/>
        <charset val="204"/>
      </rPr>
      <t>- Вариант Б:</t>
    </r>
    <r>
      <rPr>
        <sz val="11"/>
        <color theme="1"/>
        <rFont val="Arial"/>
        <family val="2"/>
        <charset val="204"/>
      </rPr>
      <t xml:space="preserve"> Гидрофобизированная минераловатная плита (плотностью не менее 150 кг/м³).</t>
    </r>
  </si>
  <si>
    <t>1. Токсическое поражение: При горении XPS выделяет высокотоксичные вещества (стирол, угарный газ). В случае эксплуатируемой кровли К1, где могут находиться люди, это приведет к мгновенному отравлению продуктами горения.
2. Отказ в приемке ГСН: Инспектор Государственного строительного надзора не подпишет ЗОС (заключение о соответствии), так как нарушение п. 5.2.4 СП 17.13330 является критическим дефектом безопасности.
3. Юридический риск: В случае реального пожара проектная организация и ГИП будут нести уголовную ответственность, так как «согласование Заказчика» не имеет юридической силы при нарушении норм безопасности (Технических регламентов).</t>
  </si>
  <si>
    <t>Юридические риски: Прямое противоречие внутри ПД/РД. В случае повреждения дорогостоящего автомобиля застройщик не сможет апеллировать к документации, так как в ТХ обещана проходимость 80 мм, а фактически построенный узел АР её не обеспечивает.</t>
  </si>
  <si>
    <t>Несоответствие требованиям пожарной безопасности, отказ в приемке объекта МЧС, необходимость демонтажа и замены дверей после чистовой отделки.</t>
  </si>
  <si>
    <t>Служба технадзора или ГАСН отклонит исполнительную документацию, так как паспорт изделия не будет соответствовать ссылочному ГОСТу в проекте.</t>
  </si>
  <si>
    <t>Образование горизонтальных и ступенчатых трещин в верхней зоне перегородки, а также локальное разрушение кромок газобетонных блоков вследствие передачи прогиба перекрытия на жёстко защемлённую кладку.
Выполнение косметического ремонта без изменения конструктивного узла не исключает повторного трещинообразования в период эксплуатации.</t>
  </si>
  <si>
    <t>Дверь типа EWS не имеет термоизоляционного заполнения должной толщины. В маленьком помещении (тамбур-шлюзе) такая дверь сработает как «радиатор»</t>
  </si>
  <si>
    <t>- В условиях задымления и паники цилиндрический замок станет непреодолимым препятствием, что приведет к гибели людей. 
- Вероятный отказ в приемке инспекцией ГПН МЧС</t>
  </si>
  <si>
    <t>Высокая слышимость в квартирах звуков из МОП (разговоры в коридоре, работа лифтов, шаги). Это критично для имиджа объекта бизнес-класса и может стать основанием для судебных исков</t>
  </si>
  <si>
    <t xml:space="preserve">- Деформация проема: Видимый прогиб перемычки («провисание» центральной части).
- Трещины в кладке: Разрушение отделки (штукатурки, плитки) над проемом из-за деформации металла.
</t>
  </si>
  <si>
    <t>- Изготовление пазов в граните 20 мм (под стойки 20х8 мм) — крайне хрупкая операция. При затяжке анкеров или вибрации ограждения при эксплуатации гранитная плитка лопнет в местах пазов.
- Подрядчик потребует значительного увеличения сметы на «ювелирную» подрезку натурального камня.</t>
  </si>
  <si>
    <t>- При длине шпильки 105 мм, вычетах на гайку с фланцем (~25 мм) и неконструктивном слое отделки (гранит 20 мм + клей 20–30 мм = ~50 мм), фактическая глубина заделки в несущий бетон марша составит всего 30 мм. При нормативной боковой нагрузке (0.3 кН/м) анкер вырвет из бетона вместе с отделкой.
-  Применение распорных клиновых анкеров (Hilti HST) вблизи края бетонной ступени создает внутреннее напряжение распирания и гарантированно приведет к откалыванию кромок бетона при затяжке ключом (нарушение допусков минимального краевого расстояния).</t>
  </si>
  <si>
    <t>Вентиляционные установки создают вибрацию. Жесткая заделка раствором передает структурный шум на перекрытия (нарушение комфорта жильцов). Кроме того, температурные расширения воздуховода при работе систем дымоудаления или нагрева могут привести к растрескиванию жесткой заделки и нарушению целостности огнезащитного покрытия.</t>
  </si>
  <si>
    <t xml:space="preserve">Несоответствие дверей сертификату пожарной безопасности. Проникновение дыма на пути эвакуации при пожаре. </t>
  </si>
  <si>
    <t>Чем грозит: Необходимость дополнительной заливки наливным полом (перерасход смеси) или появление ступеней в дверных проемах.</t>
  </si>
  <si>
    <t xml:space="preserve">Потеря эстетического вида дорогой отделки через 6-12 месяцев эксплуатации.
</t>
  </si>
  <si>
    <t>Несоответствие длин (1800 мм против 2000 мм) приведет к ошибкам в разметке и невозможности корректной установки согласно монтажным схемам. Натуральный мрамор — хрупкий материал, не предназначенный для ударных нагрузок от колес. 
Он подвержен сколам, трещинам при наезде и быстрому загрязнению от шин и дорожной химии.</t>
  </si>
  <si>
    <t>Мрамор — хрупкий материал. При случайном наезде автомобиля (особенно тяжелых внедорожников) или ударе тележкой, камень даст трещину или скол. Ремонт натурального камня в паркинге дорог и неэффективен.</t>
  </si>
  <si>
    <t>Прямое нарушение Федерального закона №123-ФЗ. Органы ГПН (пожарный надзор) выдадут предписание на полный демонтаж отделки и каркасов на этапе проверки готовности объекта.</t>
  </si>
  <si>
    <t xml:space="preserve">- Высокий риск массового падения посетителей на скользком полу в душевых.
- Эксплуатирующая организация понесет ответственность за несоблюдение норм безопасности (СП 29.13330).
- Некорректный отвод воды из-за выбора слишком крупного формата плитки для зоны с уклоном.
</t>
  </si>
  <si>
    <t>Предписание на демонтаж панелей и мебели после завершения строительно-монтажных работ.</t>
  </si>
  <si>
    <t>Функциональный отказ: Большинство кроссоверов и внедорожников (Range Rover, Toyota LC300, BMW X7), высота которых колеблется в диапазоне 1,85–1,95 м, не смогут заехать в паркинг. Это делает объект непригодным для жильцов заявленного класса</t>
  </si>
  <si>
    <t>Быстрое повреждение чистовой отделки стен и углов тележками, потеря эстетического вида помещений.</t>
  </si>
  <si>
    <t>Риск разной оценки стоимости объектов в сметах и договорах подряда. Ошибки при регистрации объектов в ГИС ОГД.</t>
  </si>
  <si>
    <t>Перерасхода средств нет. Грозит путаницей при сборке шкафа монтажной организацией и нехваткой установочного места (Unit) в стойке, если оно не было графически зарезервировано.</t>
  </si>
  <si>
    <t>Существует высокая вероятность отказа системы. При реальной эксплуатации напряжение на последних оповещателях упадет ниже рабочего диапазона (обычно 18–20В), и они либо не включатся, либо будут работать тихо. Объект не сдадут ИПЛ.</t>
  </si>
  <si>
    <t>Батареи будут находиться в состоянии хронического недозаряда. Через 1-1.5 года эксплуатации они деградируют, и система не сможет обеспечить нормативные 24 часа дежурного режима + 1 час тревоги при отключении электричества.</t>
  </si>
  <si>
    <t>При обрушении или повреждении лотка кольцо рвется сразу в двух местах, выводя из строя всю ЗКПС. Это прямое нарушение п. 6.6.4 СП 484.1311500.2020. Отказ инспектора в приемке монтажа.</t>
  </si>
  <si>
    <t>Монтажной организации физически не хватит батарей для комплектации шкафов СОУЭ. Дозакупка 10 мощных аккумуляторов (40 Ач) обойдется заказчику во внушительную сумму, которая сейчас не учтена в смете.</t>
  </si>
  <si>
    <t>Во время монтажа выяснится, что запитать резервный передатчик МЧС нечем. Возникнет необходимость экстренной закупки силового огнестойкого кабеля и споры о границах ответственности (кто за него должен платить).</t>
  </si>
  <si>
    <t>Невозможность подключеня всего списка оконечного оборуования, следовательно невозможность запуска корректной работы системы и сдачи ее в эксплуатацию.</t>
  </si>
  <si>
    <t>Риски: Разрыв зон ответственности между подрядчиками по электрике (ЭОМ) и автоматизации (АСКУЭ). Риск закупки ТТ без соответствующих интерфейсов или классов точности, необходимых для коммерческого учета.
Риски: Категорический отказ энергосбытовой компании в допуске узла учета в эксплуатацию. Невозможность замены счетчика или проведения поверки без полного отключения питания потребителей.</t>
  </si>
  <si>
    <t>Риски: Если в подвальном помещении температура упадет ниже +10°C или возникнет высокая влажность, отсутствие обогрева приведет к выпадению конденсата на электронике УСПД и снижению емкости АКБ, что вызовет выход системы из строя.</t>
  </si>
  <si>
    <t>Закупка не подходящей кабельной продукции, ктороая не будет соответсвовать проекту и всем нормам, следовательно не возможность проведения монтажных работ по проекту и сдачи системы в эксплуатацию.</t>
  </si>
  <si>
    <t>Юридически ничтожный проект. Приемка объекта технадзором и экспертными органами невозможна из-за ссылок на отмененные стандарты и путаницы в назначении системы.</t>
  </si>
  <si>
    <t>Закупка жесткого кабеля (НВПЭ) вместо гибкого (КГПЭ) затруднит расключение в компактных коробках коммутации «Пульсар». Отсутствие линий на планах приведет к ошибкам при монтаже.</t>
  </si>
  <si>
    <t>Возникновение скрытых дополнительных расходов (дозакупка клемм), неработоспособность GSM-канала из подвала (нет антенны), задержки при поставках.</t>
  </si>
  <si>
    <t>Невозможность корректно собрать электрический щит ЩАСКУВТ и нехватка мощностей для питания интерфейсов приборов учета при реализации.</t>
  </si>
  <si>
    <t>Закупка лишнего оборудования, путаница при сборке и монтаже щита.</t>
  </si>
  <si>
    <t>ИБП (источник бесперебойного питания) физически не запустится от одной батареи на 12В. Система обесточится при сбое сети.</t>
  </si>
  <si>
    <t>Отрицательное заключение стройконтроля и экспертизы; юридическая ничтожность документации.</t>
  </si>
  <si>
    <t>Нехватка кабеля при монтаже, необходимость экстренных дозакупок, простой бригад.</t>
  </si>
  <si>
    <t>Без оконечных резисторов цифровая шина CAN не запустится (потеря пакетов данных), система не пройдет ПНР.</t>
  </si>
  <si>
    <t>При переключении вводов питания компьютер выключится, до загрузки ОС диспетчер потеряет связь с лифтами (в т.ч. ППП), что недопустимо при пожаре.</t>
  </si>
  <si>
    <t>Непрохождение сигналов «Пожар» на пульт МЧС. Отказ в приемке объекта со стороны ГБУ «Система 112».</t>
  </si>
  <si>
    <t>Задвоение объемов в сметах, избыточная закупка материалов, путаница при закрытии КС.</t>
  </si>
  <si>
    <t>Перегрев усилителя радиофикации летом, постоянное срабатывание термозащиты, преждевременный выход из строя оборудования.</t>
  </si>
  <si>
    <t>Смещение центра тяжести делает шкаф нестабильным; высокий риск опрокидывания при монтаже и сервисном обслуживании оборудования.</t>
  </si>
  <si>
    <t>Монтажник не поймет, где и как крепить устройства грозозащиты, что приведет к "колхозу" (креплению на стяжки) внутри стоек.</t>
  </si>
  <si>
    <t>Замечания со стороны инспектора при проверке проектной документации. Высокий риск отказа в формальной приемке со стороны ГБУ «Система 112».</t>
  </si>
  <si>
    <t>Нехватка монтажного пространства по факту, пересечение с оборудованием других систем при сборке этажных щитов.</t>
  </si>
  <si>
    <t>Гарантированный пробой диэлектрика, дуга, короткое замыкание, возгорание и отказ системы защиты.</t>
  </si>
  <si>
    <t>Острая нехватка кабеля на этапе финишного монтажа, остановка работ, необходимость срочной дозакупки.</t>
  </si>
  <si>
    <t>Вынужденный монтаж блоков ВУ ниже проектных отметок (риск затопления в паркинге) или грубое нарушение ТУ — наращивание высоковольтного кабеля скрутками.</t>
  </si>
  <si>
    <t>Наклейка барьеров на пыльный/неровный бетон приведет к их отслаиванию и отрыву при механической уборке помещений.</t>
  </si>
  <si>
    <t>Отказ в выдаче ЗОС инспектором Госпожнадзора, невозможность законного ввода объекта в эксплуатацию.</t>
  </si>
  <si>
    <t>Дефицит кабельной продукции на этапе строительно-монтажных работ, необходимость оформления дополнительных соглашений.</t>
  </si>
  <si>
    <t>Замечания со стороны технического надзора, возврат документации. Отказ системы при длительном отключении основного электроснабжения.</t>
  </si>
  <si>
    <t>Выход из строя датчиков из-за образования конденсата и перепадов температур. Увеличение затрат генерального подрядчика на гарантийную замену.</t>
  </si>
  <si>
    <t>Скрытый дефицит комплектующих на объекте, требующий внеплановых закупок.</t>
  </si>
  <si>
    <t>При отсутствии в смежном разделе — несдача объекта технадзору и электролаборатории; нарушение требований электробезопасности здания.</t>
  </si>
  <si>
    <t>Возможен дефицит материалов на завершающем этапе монтажа; дозакупка мелких партий по завышенным ценам.</t>
  </si>
  <si>
    <t>Отказ в выдаче заключения о соответствии (ЗОС) инспектором ГПН. При пожаре потеря кабеля К3 приведёт к невозможности ручной разблокировки дверей через УДП.</t>
  </si>
  <si>
    <t>Замки не выйдут на номинальный режим удержания при работе от АКБ. Двери в одноэтажном павильоне административного назначения (точки доступа 1.ТД1.3 и 1.ТД1.4) можно будет открыть физическим усилием без идентификации.</t>
  </si>
  <si>
    <t>Срабатывание тепловой защиты БП, перегрев компонентов, преждевременный выход из строя и обесточивание сегментов СКУД: до 6 точек доступа на UG1.2, до 6 точек на UG1.4. UG1.4 находится в наиболее критическом состоянии (98%) — при пусковых токах электромагнитных замков реальная пиковая нагрузка может кратковременно превышать номинал источника.</t>
  </si>
  <si>
    <t>Финансовые затраты на закупку ложатся на подрядчика. При монтаже без гибкого перехода кабель в месте петли калитки будет подвержен многократному изгибу, излому и выйдет из строя в течение первого года эксплуатации.</t>
  </si>
  <si>
    <t>Перегрузка нейтрали, ускоренный износ оборудования</t>
  </si>
  <si>
    <t>Отключение аварийного освещения входов при пожаре</t>
  </si>
  <si>
    <t>Путаница при монтаже и эксплуатации</t>
  </si>
  <si>
    <t>Путаница при монтаже</t>
  </si>
  <si>
    <t>Невозможность развития системы</t>
  </si>
  <si>
    <t>Выход из строя, поражение током</t>
  </si>
  <si>
    <t>Некорректная проверка условия защиты, возможный отказ автомата</t>
  </si>
  <si>
    <t>Путаница при проверке расчётов</t>
  </si>
  <si>
    <t>Ошибка при закупке корпуса</t>
  </si>
  <si>
    <t>Отказ автоматической защиты при однофазном КЗ в конце линии → длительная дуга → пожар, поражение людей электрическим током</t>
  </si>
  <si>
    <t>Нарушение условий защитного отключения по п.1.7.79 ПУЭ → угроза пожара при КЗ, не отключённого в нормативное время</t>
  </si>
  <si>
    <t>Формальное ощущение выполненности требований ПУЭ без фактической проверки → незамеченные нарушения защит на длинных линиях</t>
  </si>
  <si>
    <t>Завышение объёма кабеля в смете → удорожание строительства; ошибка в ΔU → ухудшение качества напряжения на дальних светильниках</t>
  </si>
  <si>
    <t>Двойное включение 746 светильников в смету по разделам АИ и ЭО2 → завышение договорной стоимости</t>
  </si>
  <si>
    <t>Монтаж огнестойкого кабеля с нарушениями системы ПРОМРУКАВ → потеря нормируемого предела огнестойкости аварийного освещения при пожаре</t>
  </si>
  <si>
    <t>При сверхтоковом КЗ на шинах автомат с недостаточной Icu разрушается взрывообразно → пожар, травмы</t>
  </si>
  <si>
    <t>Ложные срабатывания автоматов при нагреве щита → систематические отключения освещения, ускоренный износ аппаратуры</t>
  </si>
  <si>
    <t>Нарушение IP → проникновение влаги в светильник → КЗ, пожар; несоответствие требованиям инспекции ГПН</t>
  </si>
  <si>
    <t>Разрушение внешней оболочки кабеля → КЗ, проникновение влаги, досрочный выход линии из строя</t>
  </si>
  <si>
    <t>Ссылка на несуществующий нормативный документ → замечание государственной экспертизы</t>
  </si>
  <si>
    <t>Ошибки навигации по комплекту; формальное замечание экспертизы по оформлению</t>
  </si>
  <si>
    <t>Неопределённость питания LED-цепей → монтажные ошибки; возможные конфликты с системами пожарной автоматики</t>
  </si>
  <si>
    <t>Невозможность проверки защит и сечений для цепей павильонов при государственной экспертизе</t>
  </si>
  <si>
    <t>Неоднозначное размещение датчиков → простой при монтаже, конфликты с заказчиком на приёмке</t>
  </si>
  <si>
    <t>Дисбаланс фаз → перегрев нейтрального проводника, износ трансформатора, нарушение качества напряжения</t>
  </si>
  <si>
    <t>Несоответствие требованиям лифтового оборудования → замечания Ростехнадзора, отказ в приёмке лифтов</t>
  </si>
  <si>
    <t>Контактор не встаёт в щит по глубине → переделка компоновки на объекте, задержка монтажа</t>
  </si>
  <si>
    <t>Протечка при паводке → отказ БП → КЗ в DC-цепях</t>
  </si>
  <si>
    <t>Автомат может не отключить КЗ мгновенно → термическое повреждение кабеля → пожар; поражение током</t>
  </si>
  <si>
    <t>Светильники физически не запустятся; выход из строя БП и светильников</t>
  </si>
  <si>
    <t>Риск ошибочной поставки светильника без управления</t>
  </si>
  <si>
    <t>Риск ошибочной поставки; DALI-управление недоступно</t>
  </si>
  <si>
    <t>Несимметрия напряжений в сети; снижение качества электроэнергии</t>
  </si>
  <si>
    <t>Несоответствие требованиям пожарной безопасности на участке ввода в здание</t>
  </si>
  <si>
    <t>Невозможно подтвердить допустимость выбранных сечений кабелей</t>
  </si>
  <si>
    <t>Тусклый свет на дальних светильниках; неравномерность освещения</t>
  </si>
  <si>
    <t>Несоответствие нормам; отказ при сдаче-приёмке</t>
  </si>
  <si>
    <t>Простой объекта при выходе из строя; длительное ожидание поставки</t>
  </si>
  <si>
    <t>Затопление и вмерзание бокса с БП; выход из строя в первый сезон</t>
  </si>
  <si>
    <t>Путаница при балансировке нагрузок</t>
  </si>
  <si>
    <t>Путаница при ссылках на позиции при монтаже и приёмке</t>
  </si>
  <si>
    <t>Ошибка закупки: поставка БП не той мощности</t>
  </si>
  <si>
    <t>Монтажник закупит IP44 по спецификации. В сыром помещении — риск пробоя изоляции через влагу, поражение током персонала. Замечание при приёмке от Энергонадзора.</t>
  </si>
  <si>
    <t>Отказ ОКЛ при пожаре;
 потеря управления
 СПЗ и ВПВ;
 недействительность системы</t>
  </si>
  <si>
    <t>Монтажник не установит перегородки в нужных местах или не установит вовсе — нарушение ПУЭ п.2.1.16. При аварии на одном вводе кабели резервного ввода в общем лотке без перегородки могут быть повреждены одновременно — потеря резервирования насосов ВПВ и ХВС. Замечание при техническом надзоре и приёмке от Энергонадзора</t>
  </si>
  <si>
    <t>Без нормирования времени переключения невозможно проверить при приёмке, обеспечивает ли АВР-301 требования I категории для цепей ВПВ.
При недостаточно быстром переключении — задержка или срыв автоматического запуска насосов ВПВ при пожаре.
Замечание от Госпожнадзора при согласовании и приёмке объекта.</t>
  </si>
  <si>
    <t>Без явного перечня монтажная организация и технический надзор не могут верифицировать соответствие схемы питания заявленным категориям. Разногласия при приёмке объекта заказчиком и техническим надзором</t>
  </si>
  <si>
    <t>Ошибка в исполнительной
 документации</t>
  </si>
  <si>
    <t>Ошибочный выбор аппаратов при расширении объекта на основании завышенных токов КЗ. Замечание МЭС при технической проверке схемы в ходе согласования подключения.</t>
  </si>
  <si>
    <t>Прямое противоречие между листами рабочего комплекта ведёт к ошибке закупки кабеля (70 мм² вместо 50 мм² — удорожание и перерасход материала) или к монтажу с неверным сечением. При приёмке объекта противоречие в документации является основанием для предписания об устранении несоответствия.</t>
  </si>
  <si>
    <t>Задержка ПНР; неучтённые расходы</t>
  </si>
  <si>
    <t>Погрешность коммерческого учёта при аварии; разногласия с МЭС</t>
  </si>
  <si>
    <t>Ошибка в заголовках скрыла неверный выбор ТТ.
Некорректная верификация при проверке МЭС.</t>
  </si>
  <si>
    <t>Без документирования режима — кабель эксплуатируется с превышением без каких-либо ограничений.
 Долгосрочно: ускоренный износ изоляции.</t>
  </si>
  <si>
    <t>Ошибки при ПНР; замечание МЭС</t>
  </si>
  <si>
    <t>Риск несрабатывания защиты при КЗ с дугой</t>
  </si>
  <si>
    <t>Перегрев нейтрального проводника; нарушение нормы ЭМС</t>
  </si>
  <si>
    <t>Ошибка монтажа при нарезке N/PE жил</t>
  </si>
  <si>
    <t>Возможная ошибка нагрузочного расчёта</t>
  </si>
  <si>
    <t>Отказ МЭС в приёмке узла учёта</t>
  </si>
  <si>
    <t xml:space="preserve">Проверить по смежным </t>
  </si>
  <si>
    <t>СП 1.13130.2020 п.4.2.24 Двери эвакуационных выходов из помещений и коридоров, защищаемых противодымной вентиляцией, а также двери, установленные в перегородках, разделяющих коридоры здания, должны быть оборудованы приспособлениями для самозакрывания и уплотнением в притворах.Риск не принятия инспектором.</t>
  </si>
  <si>
    <t>Замечание обосновано</t>
  </si>
  <si>
    <t>Замечание неактуально, разделение выполнено в актуальной ревизии РД ВПР от 12.03.2026</t>
  </si>
  <si>
    <t>Замечание неактуально, автоматы 16А предусмотрены в актуальной ревизии РД ВПР от 12.03.2026</t>
  </si>
  <si>
    <t>Замечание необоснованно.
Для ИТП, насосной разработаны индивидуальные проекты. На листах 8-14 отсутствуют помещения ИТП и насосной</t>
  </si>
  <si>
    <t>Замечание неактуально, исправлено в актуальной ревизии РД ВПР от 12.03.2026</t>
  </si>
  <si>
    <t>Замечание неактуально, сечения указаны корректно в актуальной ревизии РД ВПР от 13.03.2026</t>
  </si>
  <si>
    <t>По замечаниям №19232 от 23.09.2025г от Информтелесеть данное сопряжение исключено, раздел согласован в информтелесеть. Техническое заключение № 1932-1 от 20.10.2025 г.</t>
  </si>
  <si>
    <t>Замечания СУ-10 от 06.04</t>
  </si>
  <si>
    <r>
      <t xml:space="preserve">Замечание обоснованно
</t>
    </r>
    <r>
      <rPr>
        <sz val="11"/>
        <color theme="1"/>
        <rFont val="Arial"/>
        <family val="2"/>
        <charset val="204"/>
      </rPr>
      <t>Для противопожарной стены с пределом огнестойкости REI 150 (стена 1-го типа) дверь должна иметь предел огнестойкости EI 60 (противопожарная дверь 1-го типа). Требование о дымогазонепроницаемости на наш взгляд избыточно.</t>
    </r>
  </si>
  <si>
    <r>
      <rPr>
        <b/>
        <sz val="11"/>
        <color theme="1"/>
        <rFont val="Calibri"/>
        <family val="2"/>
        <charset val="204"/>
        <scheme val="minor"/>
      </rPr>
      <t>Замечание необосновано</t>
    </r>
    <r>
      <rPr>
        <sz val="11"/>
        <color theme="1"/>
        <rFont val="Calibri"/>
        <family val="2"/>
        <charset val="204"/>
        <scheme val="minor"/>
      </rPr>
      <t xml:space="preserve">
Кадастровый инженер и регистратор проверяют соответствие технического плана утвержденному проекту и разрешению на ввод, а не соблюдению  СП. Если проектная документация прошла экспертизу и получено разрешение на ввод объекта в эксплуатацию, отклонение площади от СП 54.13330.2022 не является основанием для приостановления или отказа в кадастровом учете.</t>
    </r>
  </si>
  <si>
    <r>
      <rPr>
        <b/>
        <sz val="11"/>
        <color theme="1"/>
        <rFont val="Calibri"/>
        <family val="2"/>
        <charset val="204"/>
        <scheme val="minor"/>
      </rPr>
      <t>Замечание необосновано</t>
    </r>
    <r>
      <rPr>
        <sz val="11"/>
        <color theme="1"/>
        <rFont val="Calibri"/>
        <family val="2"/>
        <charset val="204"/>
        <scheme val="minor"/>
      </rPr>
      <t xml:space="preserve">
Комплект 133/23-ГК-АИ1 неактуален, ВПР выдан комплект 1141-КИС-РД-М-АИ</t>
    </r>
  </si>
  <si>
    <r>
      <rPr>
        <b/>
        <sz val="11"/>
        <color theme="1"/>
        <rFont val="Calibri"/>
        <family val="2"/>
        <charset val="204"/>
        <scheme val="minor"/>
      </rPr>
      <t>Замечание необосновано</t>
    </r>
    <r>
      <rPr>
        <sz val="11"/>
        <color theme="1"/>
        <rFont val="Calibri"/>
        <family val="2"/>
        <charset val="204"/>
        <scheme val="minor"/>
      </rPr>
      <t xml:space="preserve">
Атуализировать замечания по комплекту 1141-КИС-РД-М-АИ-П01, а не 133/23-ГК-АИ3</t>
    </r>
  </si>
  <si>
    <r>
      <rPr>
        <b/>
        <sz val="11"/>
        <color theme="1"/>
        <rFont val="Calibri"/>
        <family val="2"/>
        <charset val="204"/>
        <scheme val="minor"/>
      </rPr>
      <t>Замечание необосновано</t>
    </r>
    <r>
      <rPr>
        <sz val="11"/>
        <color theme="1"/>
        <rFont val="Calibri"/>
        <family val="2"/>
        <charset val="204"/>
        <scheme val="minor"/>
      </rPr>
      <t xml:space="preserve">
Атуализировать замечания по комплекту 1141-КИС-РД-М-АИ-П02, а не 133/23-ГК-АИ4</t>
    </r>
  </si>
  <si>
    <r>
      <t xml:space="preserve">Замечание обоснованно
</t>
    </r>
    <r>
      <rPr>
        <sz val="11"/>
        <color theme="1"/>
        <rFont val="Calibri"/>
        <family val="2"/>
        <charset val="204"/>
        <scheme val="minor"/>
      </rPr>
      <t>Выдано в Сигнал в адрес Ортогональ</t>
    </r>
  </si>
  <si>
    <t>Замечание обоснованно</t>
  </si>
  <si>
    <r>
      <t xml:space="preserve">Замечание необосновано
</t>
    </r>
    <r>
      <rPr>
        <sz val="11"/>
        <color theme="1"/>
        <rFont val="Calibri"/>
        <family val="2"/>
        <charset val="204"/>
        <scheme val="minor"/>
      </rPr>
      <t>Замечание приводит лишь к незначительной оптимизации стоимости материалов, на усмотрение Заказчика</t>
    </r>
  </si>
  <si>
    <r>
      <rPr>
        <b/>
        <sz val="11"/>
        <color theme="1"/>
        <rFont val="Calibri"/>
        <family val="2"/>
        <charset val="204"/>
        <scheme val="minor"/>
      </rPr>
      <t>Замечание необосновано</t>
    </r>
    <r>
      <rPr>
        <sz val="11"/>
        <color theme="1"/>
        <rFont val="Calibri"/>
        <family val="2"/>
        <charset val="204"/>
        <scheme val="minor"/>
      </rPr>
      <t xml:space="preserve">
Кабели приходят в напольные люки с rj-45</t>
    </r>
  </si>
  <si>
    <r>
      <rPr>
        <b/>
        <sz val="11"/>
        <color theme="1"/>
        <rFont val="Calibri"/>
        <family val="2"/>
        <charset val="204"/>
        <scheme val="minor"/>
      </rPr>
      <t>Замечание необосновано</t>
    </r>
    <r>
      <rPr>
        <sz val="11"/>
        <color theme="1"/>
        <rFont val="Calibri"/>
        <family val="2"/>
        <charset val="204"/>
        <scheme val="minor"/>
      </rPr>
      <t xml:space="preserve">
Проектом предусмотренно 24 патч-корда</t>
    </r>
  </si>
  <si>
    <r>
      <rPr>
        <b/>
        <sz val="11"/>
        <color theme="1"/>
        <rFont val="Calibri"/>
        <family val="2"/>
        <charset val="204"/>
        <scheme val="minor"/>
      </rPr>
      <t>Замечание обоснованно</t>
    </r>
    <r>
      <rPr>
        <sz val="11"/>
        <color theme="1"/>
        <rFont val="Calibri"/>
        <family val="2"/>
        <charset val="204"/>
        <scheme val="minor"/>
      </rPr>
      <t xml:space="preserve">
Тепловая нагрузка определена в программе производителя по подору оборубования, на листе 9 указана с ошибкой.</t>
    </r>
  </si>
  <si>
    <r>
      <rPr>
        <b/>
        <sz val="11"/>
        <color theme="1"/>
        <rFont val="Calibri"/>
        <family val="2"/>
        <charset val="204"/>
        <scheme val="minor"/>
      </rPr>
      <t>Замечание необосновано</t>
    </r>
    <r>
      <rPr>
        <sz val="11"/>
        <color theme="1"/>
        <rFont val="Calibri"/>
        <family val="2"/>
        <charset val="204"/>
        <scheme val="minor"/>
      </rPr>
      <t xml:space="preserve">
Группой АН согласовано заполнение зазора между гильзой и трубопроводом НГ материалом минераловатной плитой</t>
    </r>
  </si>
  <si>
    <r>
      <rPr>
        <b/>
        <sz val="11"/>
        <color theme="1"/>
        <rFont val="Calibri"/>
        <family val="2"/>
        <charset val="204"/>
        <scheme val="minor"/>
      </rPr>
      <t>Замечание необосновано</t>
    </r>
    <r>
      <rPr>
        <sz val="11"/>
        <color theme="1"/>
        <rFont val="Calibri"/>
        <family val="2"/>
        <charset val="204"/>
        <scheme val="minor"/>
      </rPr>
      <t xml:space="preserve">
Указана некорректная ссылка на нормативный документ, согласно  СП 61.13330.2012, Приложение А - нет требования о минимальной толщине изоляции. Необходимо корректно сформулировать замечание о предоставлении Генпроектировщиком теплотехнического расчета для подтверждения правильности выбора изоляции т/п</t>
    </r>
  </si>
  <si>
    <r>
      <rPr>
        <b/>
        <sz val="11"/>
        <color theme="1"/>
        <rFont val="Calibri"/>
        <family val="2"/>
        <charset val="204"/>
        <scheme val="minor"/>
      </rPr>
      <t>Замечание обосновано</t>
    </r>
    <r>
      <rPr>
        <sz val="11"/>
        <color theme="1"/>
        <rFont val="Calibri"/>
        <family val="2"/>
        <charset val="204"/>
        <scheme val="minor"/>
      </rPr>
      <t xml:space="preserve">
Ввиду незначительности объема уточнение необходимо внести в ЖАН без отдельной корректировки РД</t>
    </r>
  </si>
  <si>
    <r>
      <rPr>
        <b/>
        <sz val="11"/>
        <color theme="1"/>
        <rFont val="Arial"/>
        <family val="2"/>
        <charset val="204"/>
      </rPr>
      <t>Не принимается!</t>
    </r>
    <r>
      <rPr>
        <sz val="11"/>
        <color theme="1"/>
        <rFont val="Arial"/>
        <family val="2"/>
        <charset val="204"/>
      </rPr>
      <t xml:space="preserve">
Проектное решение получило положительное заключение экспертизы</t>
    </r>
  </si>
  <si>
    <t>Требуется внести в том Отоганали</t>
  </si>
  <si>
    <t>Откорректировать в соответствии с требованиями НТД</t>
  </si>
  <si>
    <t>Требуется уточнить для каких марок дверей неверно указана маркировка</t>
  </si>
  <si>
    <t>Высота проезда определяется размерми самого крупногабаритного авто, указанного в ТЗ</t>
  </si>
  <si>
    <t>В ТЗ не предоставлено требование по учёту нестандартных версий автомобилей</t>
  </si>
  <si>
    <t>1. Раздел перепроектирован на беспроводной опрос электросчётчиков на базе протокола ZigBee. Данное замечание уже не актуально, так как нет кабельных подключений, где требовались данны коробки
2. Раздел перепроектирован на беспроводной опрос электросчётчиков на базе протокола ZigBee. Данное замечание уже не актуально, так как нет кабельных подключений, где требовались данные резисторы
3. Раздел перепроектирован на беспроводной опрос электросчётчиков на базе протокола ZigBee. Данное замечание уже не актуально, так как нет кабельных подключений, где требовались УЗИП</t>
  </si>
  <si>
    <t>Исправлено</t>
  </si>
  <si>
    <t>Добавлено описание режима работы в ОД для этих групп</t>
  </si>
  <si>
    <t>Пересчитано</t>
  </si>
  <si>
    <t>Габаритные размеры откорректированы</t>
  </si>
  <si>
    <t>Указана общая длина линии группы, расчет тока кз и потери напряжения выполнен по наиболее удаленному участку. Группы освещения запитаны от РП3, РП4 ВРУ-1, а не от щитка. Токи КЗ на шинах РП3, РП4 указаны на схеме.</t>
  </si>
  <si>
    <t>Формулировка согласована с Заказчиком</t>
  </si>
  <si>
    <t>См. условные обозначения. Способ прокладки указан.</t>
  </si>
  <si>
    <t>Откорректировано</t>
  </si>
  <si>
    <t>Добавлен фрагмент схемы</t>
  </si>
  <si>
    <t>Фазировка групп добавлена</t>
  </si>
  <si>
    <t>см. 133/23-ГК-ЭМ2. Глубина шкафов ВРУ 450мм.</t>
  </si>
  <si>
    <t>Исправлено УГО.</t>
  </si>
  <si>
    <t>Добавлена подпись в спецификации</t>
  </si>
  <si>
    <t>Тока КЗ пересчитаны</t>
  </si>
  <si>
    <t xml:space="preserve"> Исправлено</t>
  </si>
  <si>
    <t>Получено согласование МосЭнергоСбыта. Таблица исправлена. Требования МЭС: выбор ТТ по максимальному току аварийного режима или режима "пожар" с перегрузкой 20%.</t>
  </si>
  <si>
    <t>При аварии "отключение одного из двух трансформаторов" сработает АВР см.однолинейную схему. Аварийный режим подразумевает аварию на одной из  линии ГРЩ-ВРУ4. 477А - длительно допустимый ток при прокладке одножильного кабеля в земле, допустимый ток при прокладке на воздухе 512А. Таблица 1.3.26 для кабелей проложенных в земле, для кабелей проложенных в коробе табл.1.3.12. Количество кабелей проложенных однослойно в коробе - 3 (см.л.10 узел 8,9)</t>
  </si>
  <si>
    <t>Значение токов КЗ скорректировано. Прошу пояснить где указано, что уставка автомата 250А.</t>
  </si>
  <si>
    <t>см. раздел 133/23-ГК-ЭМ1</t>
  </si>
  <si>
    <t>Добавлено</t>
  </si>
  <si>
    <r>
      <rPr>
        <b/>
        <sz val="11"/>
        <color theme="1"/>
        <rFont val="Arial"/>
        <family val="2"/>
        <charset val="204"/>
      </rPr>
      <t>Не принимается</t>
    </r>
    <r>
      <rPr>
        <sz val="11"/>
        <color theme="1"/>
        <rFont val="Arial"/>
        <family val="2"/>
        <charset val="204"/>
      </rPr>
      <t xml:space="preserve">
Есть отступление в СТУ ПБ п. 2.4.16
(ширина марша не менее 1м), согласно проекту необходимо обеспечить 1000мм с учетом отделки и поручней</t>
    </r>
  </si>
  <si>
    <r>
      <rPr>
        <b/>
        <sz val="11"/>
        <color theme="1"/>
        <rFont val="Arial"/>
        <family val="2"/>
        <charset val="204"/>
      </rPr>
      <t>Не принимается</t>
    </r>
    <r>
      <rPr>
        <sz val="11"/>
        <color theme="1"/>
        <rFont val="Arial"/>
        <family val="2"/>
        <charset val="204"/>
      </rPr>
      <t xml:space="preserve">
По текущему решению пирога пола паркинга нарушения норм нет.                                                     Данное решение прошло экспертизу и согласование Северин.</t>
    </r>
  </si>
  <si>
    <r>
      <rPr>
        <b/>
        <sz val="11"/>
        <color theme="1"/>
        <rFont val="Calibri"/>
        <family val="2"/>
        <charset val="204"/>
        <scheme val="minor"/>
      </rPr>
      <t xml:space="preserve">Не принимается
</t>
    </r>
    <r>
      <rPr>
        <sz val="11"/>
        <color theme="1"/>
        <rFont val="Calibri"/>
        <family val="2"/>
        <charset val="204"/>
        <scheme val="minor"/>
      </rPr>
      <t>Ведомость проемов размещена на том же листе, на котором и замаркирована. Для каждого этажа своя ведомость проемов, что не является ошибкой</t>
    </r>
  </si>
  <si>
    <r>
      <rPr>
        <b/>
        <sz val="11"/>
        <color theme="1"/>
        <rFont val="Arial"/>
        <family val="2"/>
        <charset val="204"/>
      </rPr>
      <t>Замечание необосновано</t>
    </r>
    <r>
      <rPr>
        <sz val="11"/>
        <color theme="1"/>
        <rFont val="Arial"/>
        <family val="2"/>
        <charset val="204"/>
      </rPr>
      <t xml:space="preserve">
Атуализировать замечания по комплекту 1141-КИС-РД-М-АИ-П02, а не 133/23-ГК-АИ4                                   В ПД, павильоны №1 и №2 фигурируют как БКТ.
На ЗОС будет выполнен проект, по РД Олимпроект (с универсальным с/у для МГН), с кладкой в 1 ряд.
После ЗОС, будет демонтаж кладки и реализация проекта по РД Синтаксис</t>
    </r>
  </si>
  <si>
    <r>
      <rPr>
        <b/>
        <sz val="11"/>
        <color theme="1"/>
        <rFont val="Arial"/>
        <family val="2"/>
        <charset val="204"/>
      </rPr>
      <t>Замечание необосновано</t>
    </r>
    <r>
      <rPr>
        <sz val="11"/>
        <color theme="1"/>
        <rFont val="Arial"/>
        <family val="2"/>
        <charset val="204"/>
      </rPr>
      <t xml:space="preserve">
Атуализировать замечания по комплекту 1141-КИС-РД-М-АИ-П02, а не 133/23-ГК-АИ4                                  После ЗОС, будет стандарнтый с/у</t>
    </r>
  </si>
  <si>
    <r>
      <rPr>
        <b/>
        <sz val="11"/>
        <color theme="1"/>
        <rFont val="Calibri"/>
        <family val="2"/>
        <charset val="204"/>
        <scheme val="minor"/>
      </rPr>
      <t>Не принимается</t>
    </r>
    <r>
      <rPr>
        <sz val="11"/>
        <color theme="1"/>
        <rFont val="Calibri"/>
        <family val="2"/>
        <charset val="204"/>
        <scheme val="minor"/>
      </rPr>
      <t xml:space="preserve">
Сигнализаторы загазованности СТГ-3-И СО оснащены световой и звуковой сигнализацией на блоке питания и сигнализации БПС-3</t>
    </r>
  </si>
  <si>
    <r>
      <rPr>
        <b/>
        <sz val="11"/>
        <color theme="1"/>
        <rFont val="Arial"/>
        <family val="2"/>
        <charset val="204"/>
      </rPr>
      <t xml:space="preserve">Замечание обоснованно  </t>
    </r>
    <r>
      <rPr>
        <sz val="11"/>
        <color theme="1"/>
        <rFont val="Arial"/>
        <family val="2"/>
        <charset val="204"/>
      </rPr>
      <t xml:space="preserve">                                   Внесем в ЖАН по факту закупки</t>
    </r>
  </si>
  <si>
    <r>
      <t xml:space="preserve">Не принимается
</t>
    </r>
    <r>
      <rPr>
        <sz val="11"/>
        <color theme="1"/>
        <rFont val="Calibri"/>
        <family val="2"/>
        <charset val="204"/>
        <scheme val="minor"/>
      </rPr>
      <t>Кронштейн для крепления на столб RVI-2BPM-U1 RVI</t>
    </r>
  </si>
  <si>
    <r>
      <t xml:space="preserve">Не принимается
</t>
    </r>
    <r>
      <rPr>
        <sz val="11"/>
        <color theme="1"/>
        <rFont val="Calibri"/>
        <family val="2"/>
        <charset val="204"/>
        <scheme val="minor"/>
      </rPr>
      <t>Применение комплектующих стороннего производителя на наш взгляд происходит из-за сбоя в поставках. При ПНР требуется дополнительная работа без увеличения сметной стоимости по настройке согласования сигналов между блоками. Вопросы гарантийных обязательств поставщика не входят в зону ответственности проектировщика</t>
    </r>
  </si>
  <si>
    <r>
      <rPr>
        <b/>
        <sz val="11"/>
        <color theme="1"/>
        <rFont val="Calibri"/>
        <family val="2"/>
        <charset val="204"/>
        <scheme val="minor"/>
      </rPr>
      <t>Не принимается</t>
    </r>
    <r>
      <rPr>
        <sz val="11"/>
        <color theme="1"/>
        <rFont val="Calibri"/>
        <family val="2"/>
        <charset val="204"/>
        <scheme val="minor"/>
      </rPr>
      <t xml:space="preserve">
При подборе отопительных приборов теплопотери в  подводящих трубопроводах учитываются</t>
    </r>
  </si>
  <si>
    <r>
      <rPr>
        <b/>
        <sz val="11"/>
        <color theme="1"/>
        <rFont val="Calibri"/>
        <family val="2"/>
        <charset val="204"/>
        <scheme val="minor"/>
      </rPr>
      <t>Не принимается</t>
    </r>
    <r>
      <rPr>
        <sz val="11"/>
        <color theme="1"/>
        <rFont val="Calibri"/>
        <family val="2"/>
        <charset val="204"/>
        <scheme val="minor"/>
      </rPr>
      <t xml:space="preserve">
Замечание устранено группой АН при выдаче ЭАН</t>
    </r>
  </si>
  <si>
    <r>
      <rPr>
        <b/>
        <sz val="11"/>
        <color theme="1"/>
        <rFont val="Calibri"/>
        <family val="2"/>
        <charset val="204"/>
        <scheme val="minor"/>
      </rPr>
      <t>Не принимается</t>
    </r>
    <r>
      <rPr>
        <sz val="11"/>
        <color theme="1"/>
        <rFont val="Calibri"/>
        <family val="2"/>
        <charset val="204"/>
        <scheme val="minor"/>
      </rPr>
      <t xml:space="preserve">
По согласованию с АН трубопроводы ДУ50 и более заказаны по ГОСТ 10704-91.</t>
    </r>
  </si>
  <si>
    <r>
      <rPr>
        <b/>
        <sz val="11"/>
        <color theme="1"/>
        <rFont val="Calibri"/>
        <family val="2"/>
        <charset val="204"/>
        <scheme val="minor"/>
      </rPr>
      <t>Не принимается</t>
    </r>
    <r>
      <rPr>
        <sz val="11"/>
        <color theme="1"/>
        <rFont val="Calibri"/>
        <family val="2"/>
        <charset val="204"/>
        <scheme val="minor"/>
      </rPr>
      <t xml:space="preserve">
Сети без терминальных резисторов RS-485  малой мощностью, низкой стоимостью и простотой установки. К очевидным недостаткам относятся довольно низкие скорости передачи данных, короткие кабельные сегменты, необходимые для надежной работы сети. Замечание приводит к удорожанию оборудования и материалов, но к лучшим эксплуатационным характеристикам, на усмотрение Заказчика</t>
    </r>
  </si>
  <si>
    <r>
      <rPr>
        <b/>
        <sz val="11"/>
        <color theme="1"/>
        <rFont val="Calibri"/>
        <family val="2"/>
        <charset val="204"/>
        <scheme val="minor"/>
      </rPr>
      <t>Не принимается</t>
    </r>
    <r>
      <rPr>
        <sz val="11"/>
        <color theme="1"/>
        <rFont val="Calibri"/>
        <family val="2"/>
        <charset val="204"/>
        <scheme val="minor"/>
      </rPr>
      <t xml:space="preserve">
ПУЭ не требует защищать стальными или гладкими жесткими трубами. С точки зрения эстетики лучше выполнить в штробе под штукотуркой или в гладкой пластиковой трубе.</t>
    </r>
  </si>
  <si>
    <r>
      <t xml:space="preserve">Не принимается
</t>
    </r>
    <r>
      <rPr>
        <sz val="11"/>
        <color theme="1"/>
        <rFont val="Arial"/>
        <family val="2"/>
        <charset val="204"/>
      </rPr>
      <t>Дверь ДВ12.4Л не является входной в пом. насосной. Данная дверь ведет в техническое пространство (не в помещение) для прокладки инженерных сетей - выпуски канализации.</t>
    </r>
  </si>
  <si>
    <r>
      <rPr>
        <b/>
        <sz val="11"/>
        <color theme="1"/>
        <rFont val="Arial"/>
        <family val="2"/>
        <charset val="204"/>
      </rPr>
      <t xml:space="preserve">Не принимается </t>
    </r>
    <r>
      <rPr>
        <sz val="11"/>
        <color theme="1"/>
        <rFont val="Arial"/>
        <family val="2"/>
        <charset val="204"/>
      </rPr>
      <t xml:space="preserve">                                                             Рабочая документация содержит в себе проектные решения получившие положительное заключение МГЭ.
Прошу предоставить на рассмотрение расчет на основании которых сделана вывод обозначенный в замечании.</t>
    </r>
  </si>
  <si>
    <r>
      <rPr>
        <b/>
        <sz val="11"/>
        <color theme="1"/>
        <rFont val="Arial"/>
        <family val="2"/>
        <charset val="204"/>
      </rPr>
      <t xml:space="preserve">Не принимается.  </t>
    </r>
    <r>
      <rPr>
        <sz val="11"/>
        <color theme="1"/>
        <rFont val="Arial"/>
        <family val="2"/>
        <charset val="204"/>
      </rPr>
      <t xml:space="preserve">                                                     Проектное решение соответствует Заданию на проектирование. Проектная документация получила положительное заключение МГЭ.</t>
    </r>
  </si>
  <si>
    <t>Необходимо предоставить расчет прогибов для обоснования замечания</t>
  </si>
  <si>
    <r>
      <rPr>
        <b/>
        <sz val="11"/>
        <color theme="1"/>
        <rFont val="Calibri"/>
        <family val="2"/>
        <charset val="204"/>
        <scheme val="minor"/>
      </rPr>
      <t>Не принимается.</t>
    </r>
    <r>
      <rPr>
        <sz val="11"/>
        <color theme="1"/>
        <rFont val="Calibri"/>
        <family val="2"/>
        <charset val="204"/>
        <scheme val="minor"/>
      </rPr>
      <t xml:space="preserve">
П.5.2.4 СП17.13330 относится к крышам с основанием из профилированного настила;
Отверстие для прохода воронки выполнено с восстановлением предела огнестойкости не менее предела огнестойкости плиты покрытия. На опуске  воронки предусмотрена установка противопожарной манжеты.
</t>
    </r>
  </si>
  <si>
    <r>
      <rPr>
        <b/>
        <sz val="11"/>
        <color theme="1"/>
        <rFont val="Calibri"/>
        <family val="2"/>
        <charset val="204"/>
        <scheme val="minor"/>
      </rPr>
      <t>Не принимается.</t>
    </r>
    <r>
      <rPr>
        <sz val="11"/>
        <color theme="1"/>
        <rFont val="Calibri"/>
        <family val="2"/>
        <charset val="204"/>
        <scheme val="minor"/>
      </rPr>
      <t xml:space="preserve">
Крепление на химанкеры к ступеням (не через отделку спроступи)
Крепление на разжимной анкер к стене чере отделку толщиной не более - 20 мм.</t>
    </r>
  </si>
  <si>
    <r>
      <rPr>
        <b/>
        <sz val="11"/>
        <color theme="1"/>
        <rFont val="Arial"/>
        <family val="2"/>
        <charset val="204"/>
      </rPr>
      <t>Замечание необосновано</t>
    </r>
    <r>
      <rPr>
        <sz val="11"/>
        <color theme="1"/>
        <rFont val="Arial"/>
        <family val="2"/>
        <charset val="204"/>
      </rPr>
      <t xml:space="preserve">
Комплект 133/23-ГК-АИ1 неактуален, ВПР выдан комплект 1141-КИС-РД-М-АИ</t>
    </r>
  </si>
  <si>
    <r>
      <rPr>
        <b/>
        <sz val="11"/>
        <color theme="1"/>
        <rFont val="Arial"/>
        <family val="2"/>
        <charset val="204"/>
      </rPr>
      <t>Замечание необосновано</t>
    </r>
    <r>
      <rPr>
        <sz val="11"/>
        <color theme="1"/>
        <rFont val="Arial"/>
        <family val="2"/>
        <charset val="204"/>
      </rPr>
      <t xml:space="preserve">
Комплект 133/23-ГК-АИ3 неактуален, ВПР выдан комплект 1141-КИС-РД-М-АИ-П01</t>
    </r>
  </si>
  <si>
    <r>
      <rPr>
        <b/>
        <sz val="11"/>
        <color theme="1"/>
        <rFont val="Arial"/>
        <family val="2"/>
        <charset val="204"/>
      </rPr>
      <t>Замечание необосновано</t>
    </r>
    <r>
      <rPr>
        <sz val="11"/>
        <color theme="1"/>
        <rFont val="Arial"/>
        <family val="2"/>
        <charset val="204"/>
      </rPr>
      <t xml:space="preserve">
Комплект 133/23-ГК-АИ2 неактуален, ВПР выдан комплект 1141-КИС-РД-М-АИ-П</t>
    </r>
  </si>
  <si>
    <r>
      <rPr>
        <b/>
        <sz val="11"/>
        <color theme="1"/>
        <rFont val="Arial"/>
        <family val="2"/>
        <charset val="204"/>
      </rPr>
      <t>Замечание необосновано</t>
    </r>
    <r>
      <rPr>
        <sz val="11"/>
        <color theme="1"/>
        <rFont val="Arial"/>
        <family val="2"/>
        <charset val="204"/>
      </rPr>
      <t xml:space="preserve">
Комплект 133/23-ГК-АИ3 неактуален, ВПР выдан комплект 1141-КИС-РД-М-АИ-П02</t>
    </r>
  </si>
  <si>
    <r>
      <rPr>
        <b/>
        <sz val="11"/>
        <color theme="1"/>
        <rFont val="Arial"/>
        <family val="2"/>
        <charset val="204"/>
      </rPr>
      <t xml:space="preserve">Замечание обосновано    </t>
    </r>
    <r>
      <rPr>
        <sz val="11"/>
        <color theme="1"/>
        <rFont val="Arial"/>
        <family val="2"/>
        <charset val="204"/>
      </rPr>
      <t xml:space="preserve">                                   Возможно внесение записи в ЖАН</t>
    </r>
  </si>
  <si>
    <r>
      <rPr>
        <b/>
        <sz val="11"/>
        <color theme="1"/>
        <rFont val="Arial"/>
        <family val="2"/>
        <charset val="204"/>
      </rPr>
      <t>Замечание обосновано</t>
    </r>
    <r>
      <rPr>
        <sz val="11"/>
        <color theme="1"/>
        <rFont val="Arial"/>
        <family val="2"/>
        <charset val="204"/>
      </rPr>
      <t xml:space="preserve">
Откорректирована схема размещения оборудования в кроссовой. Добавлен прибор R3-Рубеж-2ОП </t>
    </r>
  </si>
  <si>
    <r>
      <rPr>
        <b/>
        <sz val="11"/>
        <color theme="1"/>
        <rFont val="Arial"/>
        <family val="2"/>
        <charset val="204"/>
      </rPr>
      <t>Замечание не принято</t>
    </r>
    <r>
      <rPr>
        <sz val="11"/>
        <color theme="1"/>
        <rFont val="Arial"/>
        <family val="2"/>
        <charset val="204"/>
      </rPr>
      <t xml:space="preserve">
Расчет кабеля выполнен с 10% запасом. В расчете предусмотрены опуски, обходы и тд.                            Для обоснования замечания, СУ-10 предоставить расчет</t>
    </r>
  </si>
  <si>
    <r>
      <rPr>
        <b/>
        <sz val="11"/>
        <color theme="1"/>
        <rFont val="Arial"/>
        <family val="2"/>
        <charset val="204"/>
      </rPr>
      <t>Замечание не принято</t>
    </r>
    <r>
      <rPr>
        <sz val="11"/>
        <color theme="1"/>
        <rFont val="Arial"/>
        <family val="2"/>
        <charset val="204"/>
      </rPr>
      <t xml:space="preserve">
В проекте предусмотрены две ниши СПЗ-1 и СПЗ-2.
В нише СПЗ-1 прокладываются кабеля систем СПС, СПЗ и через перегородку СОУЭ в сплошном металлическом лотке.
В нише СПЗ-2 прокладывается обратка кольцевых линий СПЗ и СПС в лестничном лотке.
</t>
    </r>
  </si>
  <si>
    <r>
      <rPr>
        <b/>
        <sz val="11"/>
        <color theme="1"/>
        <rFont val="Arial"/>
        <family val="2"/>
        <charset val="204"/>
      </rPr>
      <t>Замечание принято</t>
    </r>
    <r>
      <rPr>
        <sz val="11"/>
        <color theme="1"/>
        <rFont val="Arial"/>
        <family val="2"/>
        <charset val="204"/>
      </rPr>
      <t xml:space="preserve">
Откорректирована спецификация. Добавлены АКБ 40Ач. </t>
    </r>
  </si>
  <si>
    <r>
      <rPr>
        <b/>
        <sz val="11"/>
        <color theme="1"/>
        <rFont val="Arial"/>
        <family val="2"/>
        <charset val="204"/>
      </rPr>
      <t xml:space="preserve">Замечание не обосновано </t>
    </r>
    <r>
      <rPr>
        <sz val="11"/>
        <color theme="1"/>
        <rFont val="Arial"/>
        <family val="2"/>
        <charset val="204"/>
      </rPr>
      <t xml:space="preserve">                                           1. ИПК предусматриваются разделами ЭМ, а не разделом АСКУЭ, в котором должно предусматриваться только подключения интерфейсного кабеля к электросчётчикам, если речь идёт о проводном опросе электросчётчиков. Соединение трансформаторов тока и счётчиков посредством ИПК лежит за границей проектирования раздела АСКУЭ в принципе. К тому же актуальная версия раздела АСКУЭ вообще предусматривает беспроводной опрос электросчётчиков.
2. ТТ, как уже говорилось в ответе на предыдущее замечание, предусматриваются разделами ЭМ - не АСКУЭ по определению. Про ИПК комментарий дан в предыдущем пункте.</t>
    </r>
  </si>
  <si>
    <r>
      <rPr>
        <b/>
        <sz val="11"/>
        <color theme="1"/>
        <rFont val="Arial"/>
        <family val="2"/>
        <charset val="204"/>
      </rPr>
      <t xml:space="preserve">Замечание не обосновано    </t>
    </r>
    <r>
      <rPr>
        <sz val="11"/>
        <color theme="1"/>
        <rFont val="Arial"/>
        <family val="2"/>
        <charset val="204"/>
      </rPr>
      <t xml:space="preserve">                                        1. Замечания как такового нет.
2. Вряд ли в кроссовой будет образовываться конденсат, так как объём данного помещения мал, а тепловыдедение от сетевого коммутаторного оборудования весьма прилично. Если следовать этой логике, то необходимо предусмотреть комплекс мер для аналогичной защиты  сетевого коммутаторного оборудования в данной кроссовой от конденсата.</t>
    </r>
  </si>
  <si>
    <r>
      <rPr>
        <b/>
        <sz val="11"/>
        <color theme="1"/>
        <rFont val="Arial"/>
        <family val="2"/>
        <charset val="204"/>
      </rPr>
      <t xml:space="preserve">Замечание не обосновано </t>
    </r>
    <r>
      <rPr>
        <sz val="11"/>
        <color theme="1"/>
        <rFont val="Arial"/>
        <family val="2"/>
        <charset val="204"/>
      </rPr>
      <t xml:space="preserve">                                             1. Раздел перепроектирован на беспроводной опрос электросчётчиков на базе протокола ZigBee. Данное замечание уже не актуально, так как нет кабельных магистральных подключений
2. Объём коаксиального кабеля будет уточнён   
3. Раздел перепроектирован на беспроводной опрос электросчётчиков на базе протокола ZigBee. Данное замечание уже не актуально, так как нет кабельных этажных подключений               </t>
    </r>
  </si>
  <si>
    <r>
      <t xml:space="preserve">Внести исправления                                                      </t>
    </r>
    <r>
      <rPr>
        <sz val="11"/>
        <color theme="1"/>
        <rFont val="Arial"/>
        <family val="2"/>
        <charset val="204"/>
      </rPr>
      <t xml:space="preserve">На листе 4 будет исправлена опечатка с маркой ИБП и исключением требования двух батарей. Предусмотренный в спецификации SKAT-UPS 500/300 требует только одну батарею. </t>
    </r>
  </si>
  <si>
    <t>ГПЗУ и заключение МГЭ были получены до вступления в действие ГОСТ 34441-2024.
СП 59.13330.2016 необходимо замечания на СП 59.13330.2020</t>
  </si>
  <si>
    <r>
      <rPr>
        <b/>
        <sz val="11"/>
        <color theme="1"/>
        <rFont val="Arial"/>
        <family val="2"/>
        <charset val="204"/>
      </rPr>
      <t xml:space="preserve">Не принято.    </t>
    </r>
    <r>
      <rPr>
        <sz val="11"/>
        <color theme="1"/>
        <rFont val="Arial"/>
        <family val="2"/>
        <charset val="204"/>
      </rPr>
      <t xml:space="preserve">                                                                  В кабельном журнале длины кабелей приведены уже с запасом 10-15 %. Так что дополниетльно увеличивать объём кабельной продукции в спеификации нет необходимости.</t>
    </r>
  </si>
  <si>
    <r>
      <rPr>
        <b/>
        <sz val="11"/>
        <color theme="1"/>
        <rFont val="Arial"/>
        <family val="2"/>
        <charset val="204"/>
      </rPr>
      <t xml:space="preserve">Замечание не принято </t>
    </r>
    <r>
      <rPr>
        <sz val="11"/>
        <color theme="1"/>
        <rFont val="Arial"/>
        <family val="2"/>
        <charset val="204"/>
      </rPr>
      <t xml:space="preserve">
Кабель в кабельном журнале указывается для справки, в подсчете он не учавствует. В спецификации данный кабель не учтен</t>
    </r>
  </si>
  <si>
    <r>
      <rPr>
        <b/>
        <sz val="11"/>
        <color theme="1"/>
        <rFont val="Arial"/>
        <family val="2"/>
        <charset val="204"/>
      </rPr>
      <t>Замечание не принято.</t>
    </r>
    <r>
      <rPr>
        <sz val="11"/>
        <color theme="1"/>
        <rFont val="Arial"/>
        <family val="2"/>
        <charset val="204"/>
      </rPr>
      <t xml:space="preserve">
Шкаф устройство сопряжения  УС-2 (БАО-БСМС) - комплектная поставка, а не набор элементов. Паспорт оборудования по ссылке ниже:
https://www.informtelenet.ru/oborudovanie/documenty_its/us/ps_us2_bao(rev.2.2).pdf
</t>
    </r>
  </si>
  <si>
    <r>
      <rPr>
        <b/>
        <sz val="11"/>
        <color theme="1"/>
        <rFont val="Arial"/>
        <family val="2"/>
        <charset val="204"/>
      </rPr>
      <t>Замечание не принято.</t>
    </r>
    <r>
      <rPr>
        <sz val="11"/>
        <color theme="1"/>
        <rFont val="Arial"/>
        <family val="2"/>
        <charset val="204"/>
      </rPr>
      <t xml:space="preserve">
Грозозащита устанавливается на кровле на мачте
</t>
    </r>
  </si>
  <si>
    <r>
      <rPr>
        <b/>
        <sz val="11"/>
        <color theme="1"/>
        <rFont val="Arial"/>
        <family val="2"/>
        <charset val="204"/>
      </rPr>
      <t>Замечание не принято.</t>
    </r>
    <r>
      <rPr>
        <sz val="11"/>
        <color theme="1"/>
        <rFont val="Arial"/>
        <family val="2"/>
        <charset val="204"/>
      </rPr>
      <t xml:space="preserve">
Шкаф устройство сопряжения  УС-2 (БАО-БСМС) - комплектная поставка, а не набор элементов. АКБ идут в поставке оборудования</t>
    </r>
  </si>
  <si>
    <r>
      <rPr>
        <b/>
        <sz val="11"/>
        <color theme="1"/>
        <rFont val="Arial"/>
        <family val="2"/>
        <charset val="204"/>
      </rPr>
      <t>Замечание не принято.</t>
    </r>
    <r>
      <rPr>
        <sz val="11"/>
        <color theme="1"/>
        <rFont val="Arial"/>
        <family val="2"/>
        <charset val="204"/>
      </rPr>
      <t xml:space="preserve">
Все оборудование отражено. В нише СС устанавливается оборудование РТ, СКС, СКТВ и СОТС.</t>
    </r>
  </si>
  <si>
    <t>В ТЗ выданы задания только электрикам. По ТУ 7031-002-33227782-2014 на систему «ДЕРСИС» барьеры клеятся на очищенную поверхность. В проекте отсутствуют требования к подготовке пола перед наклейкой. Необходимо уточнить, не учтены ли эти работы в разделе АР/КЖ.</t>
  </si>
  <si>
    <t>В спецификации заложено 42 м ПВМТ-40 на 21 блок ВУ  (ровно по 2 м). Согласно РМ-2776 и примечаниям проекта, монтаж блоков допускается на высоте до 1,8 м. Двух метров физически не хватит на спуск к барьеру с учетом разделки концов. Возникает риск работы «впритык».</t>
  </si>
  <si>
    <t>Длины из кабельного журнала (ППГнг(А)-HF 3х1,5 = 20 м; 2х1,5 = 655 м) перенесены в спецификацию один к одному. Это нарушение СП 76.13330.2016 (п. 6.3.1.5), требующего укладку кабеля с запасом по длине 1-2% для компенсации температурных деформаций, а также запасов на разделку, изгибы и подключение.</t>
  </si>
  <si>
    <r>
      <rPr>
        <b/>
        <sz val="11"/>
        <color theme="1"/>
        <rFont val="Arial"/>
        <family val="2"/>
        <charset val="204"/>
      </rPr>
      <t xml:space="preserve">Не принимается   </t>
    </r>
    <r>
      <rPr>
        <sz val="11"/>
        <color theme="1"/>
        <rFont val="Arial"/>
        <family val="2"/>
        <charset val="204"/>
      </rPr>
      <t xml:space="preserve">                                                   Замечание необоснованно, открывание возможно как в ручном режиме так и автоматически по сигналу "пожар".                                                              Управление запорными устройствами необходимо не только в экстренных случаях, поэтому и предусмотрена дополнительно к разблокировке от АПС ручным способом. 
Схемы разблокировки ворот и замков см. раздел СБ</t>
    </r>
  </si>
  <si>
    <r>
      <rPr>
        <b/>
        <sz val="11"/>
        <color theme="1"/>
        <rFont val="Arial"/>
        <family val="2"/>
        <charset val="204"/>
      </rPr>
      <t>Замечание принято</t>
    </r>
    <r>
      <rPr>
        <sz val="11"/>
        <color theme="1"/>
        <rFont val="Arial"/>
        <family val="2"/>
        <charset val="204"/>
      </rPr>
      <t xml:space="preserve">
В общие данные внесены изменения</t>
    </r>
  </si>
  <si>
    <r>
      <rPr>
        <b/>
        <sz val="11"/>
        <color theme="1"/>
        <rFont val="Arial"/>
        <family val="2"/>
        <charset val="204"/>
      </rPr>
      <t>Замечание не принято.</t>
    </r>
    <r>
      <rPr>
        <sz val="11"/>
        <color theme="1"/>
        <rFont val="Arial"/>
        <family val="2"/>
        <charset val="204"/>
      </rPr>
      <t xml:space="preserve">
 на кровле предусмотрены СМК уличноко исполнения подключенные через АМ-1
на -2 этаже в технических помещениях температруный диапазон начинается от +5 C. Датчики, которые применяются имеют рабочий диапазон -20 - +55. Степень защиты оболочки IP41 позволяет устанавливать данные извещатели в технических помещения, т.к. непосредственно мокрые процессы и попадания на извещатели брызг воды  в данных технических помещениях в нормальном режиме не предусматривается</t>
    </r>
  </si>
  <si>
    <r>
      <rPr>
        <b/>
        <sz val="11"/>
        <color theme="1"/>
        <rFont val="Arial"/>
        <family val="2"/>
        <charset val="204"/>
      </rPr>
      <t xml:space="preserve">Замечание не принято.  </t>
    </r>
    <r>
      <rPr>
        <sz val="11"/>
        <color theme="1"/>
        <rFont val="Arial"/>
        <family val="2"/>
        <charset val="204"/>
      </rPr>
      <t xml:space="preserve">                                          Заземление лотков учтено 133/23-ГК-ЭГ кабелем ПугВнг-LS 1x6</t>
    </r>
  </si>
  <si>
    <r>
      <rPr>
        <b/>
        <sz val="11"/>
        <color theme="1"/>
        <rFont val="Arial"/>
        <family val="2"/>
        <charset val="204"/>
      </rPr>
      <t xml:space="preserve">Замечание не принято. </t>
    </r>
    <r>
      <rPr>
        <sz val="11"/>
        <color theme="1"/>
        <rFont val="Arial"/>
        <family val="2"/>
        <charset val="204"/>
      </rPr>
      <t xml:space="preserve">                                                  При расчете спецификации был учтен запас лотков в 10%</t>
    </r>
  </si>
  <si>
    <r>
      <rPr>
        <b/>
        <sz val="11"/>
        <color theme="1"/>
        <rFont val="Arial"/>
        <family val="2"/>
        <charset val="204"/>
      </rPr>
      <t xml:space="preserve">Замечание необоснованно. </t>
    </r>
    <r>
      <rPr>
        <sz val="11"/>
        <color theme="1"/>
        <rFont val="Arial"/>
        <family val="2"/>
        <charset val="204"/>
      </rPr>
      <t xml:space="preserve">
В соответствии с требованиями п.4.2.7 СП 1.13130.2009; ч.2 ст.52, п.2 ч.2 ст.53, п.1, ч.1 ст.80, п.5 ч.1 ст.84, ч.4 ст.145 № 123-ФЗ; ст.8, ст.17, ч.3 ст.18 № 384-ФЗ для обеспечения беспрепятственной эвакуации людей при пожаре и возможности доступа личного состава подразделений пожарной охраны и доставки средств пожаротушения проектом предусматривается автоматическая разблокировка всех электрозамков по сигналу от релейного модуля РМ-1-R3 (СПЗ) (см. 133/23-ГК-ПБ), которые включены в линию питания электромагнитных замков, с последующим снятием питания с электромагнитных замков.                                                                                
К5 - питание замка через УДП КПСТТнг(А)-HF 1×2×0,75 - замене не подлежит. Т.к. вы и описали, в случае повреждения кабеля во время пожара, дверь будет разблокирована.
К3 - сигнальный кабель КПСТТнг(А)-HF 1×2×0,5 к УДП предназначен для контроля состояния УДП (устройство активировано или нет). Данный кабель не имеет отношения к эвакуации и в случае если при пожаре он выйдет из строя никак не повлияет на эвакуацию.</t>
    </r>
  </si>
  <si>
    <r>
      <rPr>
        <b/>
        <sz val="11"/>
        <color theme="1"/>
        <rFont val="Arial"/>
        <family val="2"/>
        <charset val="204"/>
      </rPr>
      <t>Замечание принято</t>
    </r>
    <r>
      <rPr>
        <sz val="11"/>
        <color theme="1"/>
        <rFont val="Arial"/>
        <family val="2"/>
        <charset val="204"/>
      </rPr>
      <t xml:space="preserve">
Кабель заменен</t>
    </r>
  </si>
  <si>
    <r>
      <rPr>
        <b/>
        <sz val="11"/>
        <color theme="1"/>
        <rFont val="Arial"/>
        <family val="2"/>
        <charset val="204"/>
      </rPr>
      <t>Замечание принято</t>
    </r>
    <r>
      <rPr>
        <sz val="11"/>
        <color theme="1"/>
        <rFont val="Arial"/>
        <family val="2"/>
        <charset val="204"/>
      </rPr>
      <t xml:space="preserve">
Блоки питания заменены</t>
    </r>
  </si>
  <si>
    <r>
      <rPr>
        <b/>
        <sz val="11"/>
        <color theme="1"/>
        <rFont val="Arial"/>
        <family val="2"/>
        <charset val="204"/>
      </rPr>
      <t>Замечание принято</t>
    </r>
    <r>
      <rPr>
        <sz val="11"/>
        <color theme="1"/>
        <rFont val="Arial"/>
        <family val="2"/>
        <charset val="204"/>
      </rPr>
      <t xml:space="preserve">
Гибкие переходы добавлены</t>
    </r>
  </si>
  <si>
    <t>Замечание необоснованно.
Согласно п. 3.1.8 ПУЭ, электрические сети должны иметь защиту от токов короткого замыкания, обеспечивающую по возможности наименьшее время отключения и требования селективности.Защита должна обеспечивать отключение поврежденного участка при КЗ в конце защищаемой линии: одно-, двух- и трехфазных - в сетях с глухозаземленной нейтралью; двух- и трехфазных - в сетях с изолированной нейтралью.Надежное отключение поврежденного участка сети обеспечивается, если отношение наименьшего расчетного тока КЗ к номинальному току плавкой вставки предохранителя или расцепителя автоматического выключателя будет не менее значений, приведенных в 1.7.79 и 7.3.139. Из-за близости трансформатора к ВРУ (подстанция встроенная), токи КЗ на шинах большие, порядок токов подтвержден МГЭ. Токи КЗ на шинах РП3 ВРУ-1: Iкз1ф=12.72кА    Откл.способность ВА-300 Icu=20кА. По вендор-листу оборудование ВРУ Декарфт, у них нет автоматов на 15кА.</t>
  </si>
  <si>
    <r>
      <rPr>
        <b/>
        <sz val="11"/>
        <color theme="1"/>
        <rFont val="Arial"/>
        <family val="2"/>
        <charset val="204"/>
      </rPr>
      <t xml:space="preserve">Замечание необоснованно,   </t>
    </r>
    <r>
      <rPr>
        <sz val="11"/>
        <color theme="1"/>
        <rFont val="Arial"/>
        <family val="2"/>
        <charset val="204"/>
      </rPr>
      <t xml:space="preserve">                                    СУ-10 предоставить нормативное обоснование. Группы питающие ленты и магнитный шинопровод указаны на планах и схеме ВРУ</t>
    </r>
  </si>
  <si>
    <t xml:space="preserve">Замечание обосновано </t>
  </si>
  <si>
    <r>
      <rPr>
        <b/>
        <sz val="11"/>
        <color theme="1"/>
        <rFont val="Arial"/>
        <family val="2"/>
        <charset val="204"/>
      </rPr>
      <t xml:space="preserve">Замечание необоснованно. </t>
    </r>
    <r>
      <rPr>
        <sz val="11"/>
        <color theme="1"/>
        <rFont val="Arial"/>
        <family val="2"/>
        <charset val="204"/>
      </rPr>
      <t xml:space="preserve">
Согласно СП 256.1325800.2016 п10.4 Для коммутации однофазных групповых линий применяются как однополюсные, так и двухполюсные автоматические выключатели. Если групповая линия аварийного освещения может быть подключена к источнику питания постоянного тока, то следует применять двухполюсные выключатели. В групповых линиях освещения помещений с повышенной опасностью и особо опасных должны устанавливаться УДТ и двухполюсные автоматические выключатели.</t>
    </r>
  </si>
  <si>
    <r>
      <rPr>
        <b/>
        <sz val="11"/>
        <color theme="1"/>
        <rFont val="Arial"/>
        <family val="2"/>
        <charset val="204"/>
      </rPr>
      <t xml:space="preserve">Замечание необоснованно. </t>
    </r>
    <r>
      <rPr>
        <sz val="11"/>
        <color theme="1"/>
        <rFont val="Arial"/>
        <family val="2"/>
        <charset val="204"/>
      </rPr>
      <t xml:space="preserve">
Разгранечение по марке кабеля выполнено в соответствии с местом прокладки кабеля</t>
    </r>
  </si>
  <si>
    <r>
      <rPr>
        <b/>
        <sz val="11"/>
        <color theme="1"/>
        <rFont val="Arial"/>
        <family val="2"/>
        <charset val="204"/>
      </rPr>
      <t>Замечание неактуально,</t>
    </r>
    <r>
      <rPr>
        <sz val="11"/>
        <color theme="1"/>
        <rFont val="Arial"/>
        <family val="2"/>
        <charset val="204"/>
      </rPr>
      <t xml:space="preserve"> в актуальной ревизии РД ВПР от 03.02.2026 лист 6 отсутствует</t>
    </r>
  </si>
  <si>
    <r>
      <rPr>
        <b/>
        <sz val="11"/>
        <color theme="1"/>
        <rFont val="Arial"/>
        <family val="2"/>
        <charset val="204"/>
      </rPr>
      <t>Замечание неактуально</t>
    </r>
    <r>
      <rPr>
        <sz val="11"/>
        <color theme="1"/>
        <rFont val="Arial"/>
        <family val="2"/>
        <charset val="204"/>
      </rPr>
      <t>, в актуальной ревизии РД ВПР от 03.02.2026 спецификация территории отсутствует</t>
    </r>
  </si>
  <si>
    <r>
      <rPr>
        <b/>
        <sz val="11"/>
        <color theme="1"/>
        <rFont val="Arial"/>
        <family val="2"/>
        <charset val="204"/>
      </rPr>
      <t>Замечание неактуально,</t>
    </r>
    <r>
      <rPr>
        <sz val="11"/>
        <color theme="1"/>
        <rFont val="Arial"/>
        <family val="2"/>
        <charset val="204"/>
      </rPr>
      <t xml:space="preserve"> в актуальной ревизии РД ВПР от 03.02.2026 данные указаны</t>
    </r>
  </si>
  <si>
    <r>
      <rPr>
        <b/>
        <sz val="11"/>
        <color theme="1"/>
        <rFont val="Arial"/>
        <family val="2"/>
        <charset val="204"/>
      </rPr>
      <t xml:space="preserve">Замечание неактуально  </t>
    </r>
    <r>
      <rPr>
        <sz val="11"/>
        <color theme="1"/>
        <rFont val="Arial"/>
        <family val="2"/>
        <charset val="204"/>
      </rPr>
      <t xml:space="preserve">                                              (в последнем ВПР) проекте светильник заменен</t>
    </r>
  </si>
  <si>
    <t>Замечание необосновано, т.к.нагрузка не постоянная, еденичная. В щите всего три потребителя, нет возможности распределения.</t>
  </si>
  <si>
    <r>
      <rPr>
        <b/>
        <sz val="11"/>
        <color theme="1"/>
        <rFont val="Arial"/>
        <family val="2"/>
        <charset val="204"/>
      </rPr>
      <t xml:space="preserve">Замечание необосновано.  </t>
    </r>
    <r>
      <rPr>
        <sz val="11"/>
        <color theme="1"/>
        <rFont val="Arial"/>
        <family val="2"/>
        <charset val="204"/>
      </rPr>
      <t xml:space="preserve">                                       Монтаж выполнить на отдельные клемы</t>
    </r>
  </si>
  <si>
    <r>
      <rPr>
        <b/>
        <sz val="11"/>
        <color theme="1"/>
        <rFont val="Calibri"/>
        <family val="2"/>
        <charset val="204"/>
        <scheme val="minor"/>
      </rPr>
      <t>Замечание необосновано</t>
    </r>
    <r>
      <rPr>
        <sz val="11"/>
        <color theme="1"/>
        <rFont val="Calibri"/>
        <family val="2"/>
        <charset val="204"/>
        <scheme val="minor"/>
      </rPr>
      <t xml:space="preserve">
См. п. 2.3.23 СТУ ПБ</t>
    </r>
  </si>
  <si>
    <r>
      <t xml:space="preserve">Не принимается
Дверь ДВ12.4Л не является входной в пом. насосной. Данная дверь ведет в техническое пространство (не </t>
    </r>
    <r>
      <rPr>
        <u/>
        <sz val="10"/>
        <color theme="1"/>
        <rFont val="Arial"/>
        <family val="2"/>
        <charset val="204"/>
      </rPr>
      <t>в помещение</t>
    </r>
    <r>
      <rPr>
        <sz val="10"/>
        <color theme="1"/>
        <rFont val="Arial"/>
        <family val="2"/>
        <charset val="204"/>
      </rPr>
      <t>) для прокладки инженерных сетей - выпуски канализации.</t>
    </r>
  </si>
  <si>
    <t>Не принимается.
Применение  ручки типа антипаника не является обязательным требованием для жилых зданий.
Двери эвакуационных выходов (двери выходов из поэтажных коридоров в лифтовй-холл (ПБЗ) и в ЛК не оборудуются запорными устройствами)</t>
  </si>
  <si>
    <t>Замечание обосновано к АР3, но в комплекте АИ Синтаксис учтено отсутствие цилиндрического замка, фурнитура не требует применение ключа с внутренней стороны</t>
  </si>
  <si>
    <t>Не принимается.
Узел согласован Заказчиком. И выполнен согласно решениям концепции Nikken Sekkey</t>
  </si>
  <si>
    <t>Необходим графический расчет от Олимпроект, для уточнения минимального клиренса</t>
  </si>
  <si>
    <t>Не предоставлена ссылка на требования</t>
  </si>
  <si>
    <r>
      <rPr>
        <b/>
        <sz val="11"/>
        <color theme="1"/>
        <rFont val="Arial"/>
        <family val="2"/>
        <charset val="204"/>
      </rPr>
      <t>Не принимается.</t>
    </r>
    <r>
      <rPr>
        <sz val="11"/>
        <color theme="1"/>
        <rFont val="Arial"/>
        <family val="2"/>
        <charset val="204"/>
      </rPr>
      <t xml:space="preserve">
Двери ДН15-1Л и ДН15-1П ввидут в технические ниши и не являются дверьми на пути эвакуации.                        Двери эвакуационных выходов (двери выходов из поэтажных коридоров в лифтовй-холл (ПБЗ) и в ЛК не оборудуются запорными устройствами)</t>
    </r>
  </si>
  <si>
    <r>
      <rPr>
        <b/>
        <sz val="11"/>
        <color theme="1"/>
        <rFont val="Arial"/>
        <family val="2"/>
        <charset val="204"/>
      </rPr>
      <t xml:space="preserve">Не принимается  </t>
    </r>
    <r>
      <rPr>
        <sz val="11"/>
        <color theme="1"/>
        <rFont val="Arial"/>
        <family val="2"/>
        <charset val="204"/>
      </rPr>
      <t xml:space="preserve">                                                           Знак 1,8м - обозначает максимальную высоту автомобиля, согласно СП он должн быть на 0,2 м ниже факмтического проема. Решение будет уточнено при следующей ревизии РД.</t>
    </r>
  </si>
  <si>
    <t>Не принимается                                                             На прямых частках 18% на криволинейных 13% в соответствии с нормативами. Решение соответствует ЗнП.</t>
  </si>
  <si>
    <r>
      <rPr>
        <b/>
        <sz val="11"/>
        <color theme="1"/>
        <rFont val="Arial"/>
        <family val="2"/>
        <charset val="204"/>
      </rPr>
      <t xml:space="preserve">Замечание обоновано  </t>
    </r>
    <r>
      <rPr>
        <sz val="11"/>
        <color theme="1"/>
        <rFont val="Arial"/>
        <family val="2"/>
        <charset val="204"/>
      </rPr>
      <t xml:space="preserve">                                      Предусмотреть мероприятия по защите</t>
    </r>
  </si>
  <si>
    <r>
      <rPr>
        <b/>
        <sz val="11"/>
        <color theme="1"/>
        <rFont val="Arial"/>
        <family val="2"/>
        <charset val="204"/>
      </rPr>
      <t xml:space="preserve">Замечание обосновано  </t>
    </r>
    <r>
      <rPr>
        <sz val="11"/>
        <color theme="1"/>
        <rFont val="Arial"/>
        <family val="2"/>
        <charset val="204"/>
      </rPr>
      <t xml:space="preserve">                                     Увеличить сечение</t>
    </r>
  </si>
  <si>
    <r>
      <rPr>
        <b/>
        <sz val="11"/>
        <color theme="1"/>
        <rFont val="Arial"/>
        <family val="2"/>
        <charset val="204"/>
      </rPr>
      <t>Замечание обосновано</t>
    </r>
    <r>
      <rPr>
        <sz val="11"/>
        <color theme="1"/>
        <rFont val="Arial"/>
        <family val="2"/>
        <charset val="204"/>
      </rPr>
      <t>, требуется увеличение сечения</t>
    </r>
  </si>
  <si>
    <r>
      <rPr>
        <b/>
        <sz val="11"/>
        <color theme="1"/>
        <rFont val="Arial"/>
        <family val="2"/>
        <charset val="204"/>
      </rPr>
      <t xml:space="preserve">Замечание обоновано      </t>
    </r>
    <r>
      <rPr>
        <sz val="11"/>
        <color theme="1"/>
        <rFont val="Arial"/>
        <family val="2"/>
        <charset val="204"/>
      </rPr>
      <t xml:space="preserve">                               Откорректировать расчет потерь напряжения</t>
    </r>
  </si>
  <si>
    <r>
      <rPr>
        <b/>
        <sz val="11"/>
        <color theme="1"/>
        <rFont val="Arial"/>
        <family val="2"/>
        <charset val="204"/>
      </rPr>
      <t xml:space="preserve">Решение будет выдано отдельно </t>
    </r>
    <r>
      <rPr>
        <sz val="11"/>
        <color theme="1"/>
        <rFont val="Arial"/>
        <family val="2"/>
        <charset val="204"/>
      </rPr>
      <t xml:space="preserve">                                  Итоговое решение по способу крепежа будет определено после реализации МОКАПа, узел выполнен согласно решениям концепции Nikken Sekkey</t>
    </r>
  </si>
  <si>
    <r>
      <rPr>
        <b/>
        <sz val="11"/>
        <color theme="1"/>
        <rFont val="Arial"/>
        <family val="2"/>
        <charset val="204"/>
      </rPr>
      <t xml:space="preserve">Замечание неактуально.  </t>
    </r>
    <r>
      <rPr>
        <sz val="11"/>
        <color theme="1"/>
        <rFont val="Arial"/>
        <family val="2"/>
        <charset val="204"/>
      </rPr>
      <t xml:space="preserve">                                                   кабель учтен в актуальной ревизии РД ВПР от 06.02.2026. В кж укахана длина кабеля  U/UTP Cat5e ZH нг(А)-HF - 4559, данная длина с учетом 10% запаса.
В спецификации U/UTP Cat5e ZH нг(А)-HF - 4559м.</t>
    </r>
  </si>
  <si>
    <r>
      <rPr>
        <b/>
        <sz val="11"/>
        <color theme="1"/>
        <rFont val="Arial"/>
        <family val="2"/>
        <charset val="204"/>
      </rPr>
      <t xml:space="preserve">Замечание неактуально                                                 </t>
    </r>
    <r>
      <rPr>
        <sz val="11"/>
        <color theme="1"/>
        <rFont val="Arial"/>
        <family val="2"/>
        <charset val="204"/>
      </rPr>
      <t xml:space="preserve"> Кабель учтен в актуальной ревизии РД ВПР от 18.02.2026. Кабель учтен в разделе 133/23-ГК-ЭМ2</t>
    </r>
  </si>
  <si>
    <r>
      <rPr>
        <b/>
        <sz val="11"/>
        <color theme="1"/>
        <rFont val="Arial"/>
        <family val="2"/>
        <charset val="204"/>
      </rPr>
      <t xml:space="preserve">Замечание не принято.   </t>
    </r>
    <r>
      <rPr>
        <sz val="11"/>
        <color theme="1"/>
        <rFont val="Arial"/>
        <family val="2"/>
        <charset val="204"/>
      </rPr>
      <t xml:space="preserve">                                                        патч-корды учтены в разделе СОТ</t>
    </r>
  </si>
  <si>
    <r>
      <rPr>
        <b/>
        <sz val="11"/>
        <color theme="1"/>
        <rFont val="Arial"/>
        <family val="2"/>
        <charset val="204"/>
      </rPr>
      <t xml:space="preserve">Не принимается                       </t>
    </r>
    <r>
      <rPr>
        <sz val="11"/>
        <color theme="1"/>
        <rFont val="Arial"/>
        <family val="2"/>
        <charset val="204"/>
      </rPr>
      <t xml:space="preserve">                                                       В соответствии с СП1 п. 4.4.3 абзац 3 допускается уменьшить длину проступи: "Допускается уменьшать ширину проступи криволинейных парадных и служебных лестниц в узкой части до 22 см; ширину проступи лестниц, ведущих в технические этажи, чердаки, на кровлю (за исключением эксплуатируемой), а также только к служебным помещениям (кроме помещений класса Ф5 категорий А и Б) с общим числом рабочих мест не более 5 человек - до 12 см"</t>
    </r>
  </si>
  <si>
    <r>
      <rPr>
        <b/>
        <sz val="11"/>
        <color theme="1"/>
        <rFont val="Arial"/>
        <family val="2"/>
        <charset val="204"/>
      </rPr>
      <t xml:space="preserve">Не принимается   </t>
    </r>
    <r>
      <rPr>
        <sz val="11"/>
        <color theme="1"/>
        <rFont val="Arial"/>
        <family val="2"/>
        <charset val="204"/>
      </rPr>
      <t xml:space="preserve">                                                                           В соответствии с ПД получившей положительное заключение экспертизы на паркинге предусмотренны временные м/м для МГН</t>
    </r>
  </si>
  <si>
    <r>
      <rPr>
        <b/>
        <sz val="11"/>
        <color theme="1"/>
        <rFont val="Arial"/>
        <family val="2"/>
        <charset val="204"/>
      </rPr>
      <t xml:space="preserve">Не принимается  </t>
    </r>
    <r>
      <rPr>
        <sz val="11"/>
        <color theme="1"/>
        <rFont val="Arial"/>
        <family val="2"/>
        <charset val="204"/>
      </rPr>
      <t xml:space="preserve">                                                                 На узеле заделки отверстий ОВ в плите перекрытия предусмотрен слой набивки из баальтовой ваты</t>
    </r>
  </si>
  <si>
    <r>
      <rPr>
        <b/>
        <sz val="11"/>
        <color theme="1"/>
        <rFont val="Arial"/>
        <family val="2"/>
        <charset val="204"/>
      </rPr>
      <t>Замечание принято.</t>
    </r>
    <r>
      <rPr>
        <sz val="11"/>
        <color theme="1"/>
        <rFont val="Arial"/>
        <family val="2"/>
        <charset val="204"/>
      </rPr>
      <t xml:space="preserve">
Заменен UG.5 ИВЭПР 24/2,5 на ИВЭПР 24/5 </t>
    </r>
  </si>
  <si>
    <r>
      <t xml:space="preserve">Не принимается                                                                   </t>
    </r>
    <r>
      <rPr>
        <sz val="11"/>
        <color theme="1"/>
        <rFont val="Arial"/>
        <family val="2"/>
        <charset val="204"/>
      </rPr>
      <t>Согласно п. 2.3.23 СТУ ПБ из указанного пространства площадью не более 700 м2 допускается вместо эвакуационного предусматривать аварийный выход (один), видущий на пути эвакуации</t>
    </r>
  </si>
  <si>
    <r>
      <t xml:space="preserve">Не принимается                                                                     </t>
    </r>
    <r>
      <rPr>
        <sz val="11"/>
        <color theme="1"/>
        <rFont val="Arial"/>
        <family val="2"/>
        <charset val="204"/>
      </rPr>
      <t>Указанные планировочные решения получили положительное заключение МГЭ и прошли регистрацию в составе ПСО в Росреестре.</t>
    </r>
  </si>
  <si>
    <r>
      <t xml:space="preserve">Не принимается                                                                    </t>
    </r>
    <r>
      <rPr>
        <sz val="11"/>
        <color theme="1"/>
        <rFont val="Arial"/>
        <family val="2"/>
        <charset val="204"/>
      </rPr>
      <t>Указанные дверь не являются дверью в помещение. Это дверь в зону ввода коммуникация в составе помещения насосной.</t>
    </r>
  </si>
  <si>
    <r>
      <t xml:space="preserve">Не принимается                                                                    </t>
    </r>
    <r>
      <rPr>
        <sz val="11"/>
        <color theme="1"/>
        <rFont val="Arial"/>
        <family val="2"/>
        <charset val="204"/>
      </rPr>
      <t>Указанные дверь не являются дверью в помещение.</t>
    </r>
  </si>
  <si>
    <r>
      <t xml:space="preserve">Не принимается                                                                  </t>
    </r>
    <r>
      <rPr>
        <sz val="11"/>
        <color theme="1"/>
        <rFont val="Arial"/>
        <family val="2"/>
        <charset val="204"/>
      </rPr>
      <t>Ввиду отсутствия нарушения норм и недостаточности обоснования</t>
    </r>
    <r>
      <rPr>
        <b/>
        <sz val="11"/>
        <color theme="1"/>
        <rFont val="Arial"/>
        <family val="2"/>
        <charset val="204"/>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</si>
</sst>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font>
      <sz val="11"/>
      <color theme="1"/>
      <name val="Calibri"/>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1"/>
      <color rgb="FF000000"/>
      <name val="Calibri"/>
      <family val="2"/>
      <charset val="204"/>
    </font>
    <font>
      <sz val="11"/>
      <name val="Calibri"/>
      <family val="2"/>
      <charset val="204"/>
    </font>
    <font>
      <sz val="11"/>
      <color rgb="FF000000"/>
      <name val="Calibri"/>
      <family val="2"/>
      <charset val="204"/>
    </font>
    <font>
      <b/>
      <sz val="11"/>
      <color rgb="FF000000"/>
      <name val="Calibri, sans-serif"/>
    </font>
    <font>
      <sz val="11"/>
      <color rgb="FF000000"/>
      <name val="Calibri, sans-serif"/>
    </font>
    <font>
      <sz val="11"/>
      <color theme="1"/>
      <name val="Calibri"/>
      <family val="2"/>
      <charset val="204"/>
    </font>
    <font>
      <b/>
      <sz val="11"/>
      <color theme="1"/>
      <name val="Arial"/>
      <family val="2"/>
      <charset val="204"/>
    </font>
    <font>
      <sz val="11"/>
      <color rgb="FF000000"/>
      <name val="Arial"/>
      <family val="2"/>
      <charset val="204"/>
    </font>
    <font>
      <b/>
      <sz val="11"/>
      <color rgb="FF000000"/>
      <name val="Arial"/>
      <family val="2"/>
      <charset val="204"/>
    </font>
    <font>
      <sz val="11"/>
      <color theme="1"/>
      <name val="Arial"/>
      <family val="2"/>
      <charset val="204"/>
    </font>
    <font>
      <b/>
      <sz val="11"/>
      <color theme="1"/>
      <name val="Calibri"/>
      <family val="2"/>
      <charset val="204"/>
      <scheme val="minor"/>
    </font>
    <font>
      <b/>
      <sz val="11"/>
      <color rgb="FFFFFFFF"/>
      <name val="Arial"/>
      <family val="2"/>
      <charset val="204"/>
    </font>
    <font>
      <b/>
      <sz val="11"/>
      <color rgb="FF006100"/>
      <name val="Arial"/>
      <family val="2"/>
      <charset val="204"/>
    </font>
    <font>
      <b/>
      <sz val="11"/>
      <color rgb="FFFF0000"/>
      <name val="Arial"/>
      <family val="2"/>
      <charset val="204"/>
    </font>
    <font>
      <b/>
      <sz val="11"/>
      <color rgb="FF1155CC"/>
      <name val="Arial"/>
      <family val="2"/>
      <charset val="204"/>
    </font>
    <font>
      <sz val="11"/>
      <color rgb="FF1155CC"/>
      <name val="Arial"/>
      <family val="2"/>
      <charset val="204"/>
    </font>
    <font>
      <b/>
      <sz val="11"/>
      <color rgb="FF003399"/>
      <name val="Calibri"/>
      <family val="2"/>
      <charset val="204"/>
    </font>
    <font>
      <sz val="11"/>
      <color rgb="FFFF0000"/>
      <name val="Arial"/>
      <family val="2"/>
      <charset val="204"/>
    </font>
    <font>
      <b/>
      <sz val="11"/>
      <color rgb="FFCC0000"/>
      <name val="Calibri"/>
      <family val="2"/>
      <charset val="204"/>
    </font>
    <font>
      <b/>
      <sz val="11"/>
      <color theme="1"/>
      <name val="Calibri"/>
      <family val="2"/>
      <charset val="204"/>
    </font>
    <font>
      <sz val="11"/>
      <color rgb="FF434343"/>
      <name val="Arial"/>
      <family val="2"/>
      <charset val="204"/>
    </font>
    <font>
      <b/>
      <sz val="14"/>
      <color theme="1"/>
      <name val="Calibri"/>
      <family val="2"/>
      <charset val="204"/>
      <scheme val="minor"/>
    </font>
    <font>
      <sz val="14"/>
      <color theme="1"/>
      <name val="Calibri"/>
      <family val="2"/>
      <charset val="204"/>
      <scheme val="minor"/>
    </font>
    <font>
      <b/>
      <sz val="14"/>
      <color theme="1"/>
      <name val="Calibri"/>
      <family val="2"/>
      <charset val="204"/>
      <scheme val="major"/>
    </font>
    <font>
      <sz val="11"/>
      <color rgb="FFFFFFFF"/>
      <name val="Arial"/>
      <family val="2"/>
      <charset val="204"/>
    </font>
    <font>
      <b/>
      <i/>
      <sz val="11"/>
      <color theme="1"/>
      <name val="Calibri"/>
      <family val="2"/>
      <charset val="204"/>
      <scheme val="minor"/>
    </font>
    <font>
      <b/>
      <sz val="11"/>
      <color rgb="FFFF0000"/>
      <name val="Calibri"/>
      <family val="2"/>
      <charset val="204"/>
      <scheme val="minor"/>
    </font>
    <font>
      <sz val="10"/>
      <color theme="1"/>
      <name val="Arial"/>
      <family val="2"/>
      <charset val="204"/>
    </font>
    <font>
      <sz val="9"/>
      <color theme="1"/>
      <name val="Arial"/>
      <family val="2"/>
      <charset val="204"/>
    </font>
    <font>
      <sz val="9"/>
      <color theme="1"/>
      <name val="Calibri"/>
      <family val="2"/>
      <charset val="204"/>
    </font>
    <font>
      <sz val="9"/>
      <color rgb="FF434343"/>
      <name val="Arial"/>
      <family val="2"/>
      <charset val="204"/>
    </font>
    <font>
      <sz val="9"/>
      <color rgb="FF5D4037"/>
      <name val="Arial"/>
      <family val="2"/>
      <charset val="204"/>
    </font>
    <font>
      <b/>
      <sz val="11"/>
      <color rgb="FF0070C0"/>
      <name val="Arial"/>
      <family val="2"/>
      <charset val="204"/>
    </font>
    <font>
      <b/>
      <sz val="11"/>
      <color rgb="FF595959"/>
      <name val="Arial"/>
      <family val="2"/>
      <charset val="204"/>
    </font>
    <font>
      <b/>
      <sz val="11"/>
      <color rgb="FFCC0000"/>
      <name val="Arial"/>
      <family val="2"/>
      <charset val="204"/>
    </font>
    <font>
      <b/>
      <sz val="11"/>
      <color rgb="FF434343"/>
      <name val="Arial"/>
      <family val="2"/>
      <charset val="204"/>
    </font>
    <font>
      <b/>
      <sz val="11"/>
      <color rgb="FFC00000"/>
      <name val="Arial"/>
      <family val="2"/>
      <charset val="204"/>
    </font>
    <font>
      <b/>
      <sz val="11"/>
      <color rgb="FFC55A00"/>
      <name val="Arial"/>
      <family val="2"/>
      <charset val="204"/>
    </font>
    <font>
      <b/>
      <sz val="11"/>
      <color rgb="FF7F6000"/>
      <name val="Arial"/>
      <family val="2"/>
      <charset val="204"/>
    </font>
    <font>
      <b/>
      <sz val="11"/>
      <color rgb="FF003399"/>
      <name val="Arial"/>
      <family val="2"/>
      <charset val="204"/>
    </font>
    <font>
      <sz val="11"/>
      <name val="Arial"/>
      <family val="2"/>
      <charset val="204"/>
    </font>
    <font>
      <b/>
      <sz val="11"/>
      <color rgb="FF6B5600"/>
      <name val="Arial"/>
      <family val="2"/>
      <charset val="204"/>
    </font>
    <font>
      <sz val="12"/>
      <color theme="1"/>
      <name val="Arial"/>
      <family val="2"/>
      <charset val="204"/>
    </font>
    <font>
      <u/>
      <sz val="10"/>
      <color theme="1"/>
      <name val="Arial"/>
      <family val="2"/>
      <charset val="204"/>
    </font>
  </fonts>
  <fills count="45">
    <fill>
      <patternFill patternType="none"/>
    </fill>
    <fill>
      <patternFill patternType="gray125"/>
    </fill>
    <fill>
      <patternFill patternType="solid">
        <fgColor rgb="FFFFF2CC"/>
        <bgColor rgb="FFFFF2CC"/>
      </patternFill>
    </fill>
    <fill>
      <patternFill patternType="solid">
        <fgColor rgb="FFFFFFFF"/>
        <bgColor rgb="FFFFFFFF"/>
      </patternFill>
    </fill>
    <fill>
      <patternFill patternType="solid">
        <fgColor rgb="FFD9EAD3"/>
        <bgColor rgb="FFD9EAD3"/>
      </patternFill>
    </fill>
    <fill>
      <patternFill patternType="solid">
        <fgColor rgb="FF93C47D"/>
        <bgColor rgb="FF93C47D"/>
      </patternFill>
    </fill>
    <fill>
      <patternFill patternType="solid">
        <fgColor rgb="FF00B0F0"/>
        <bgColor rgb="FF00B0F0"/>
      </patternFill>
    </fill>
    <fill>
      <patternFill patternType="solid">
        <fgColor rgb="FF2F5496"/>
        <bgColor rgb="FF2F5496"/>
      </patternFill>
    </fill>
    <fill>
      <patternFill patternType="solid">
        <fgColor rgb="FFF4CCCC"/>
        <bgColor rgb="FFF4CCCC"/>
      </patternFill>
    </fill>
    <fill>
      <patternFill patternType="solid">
        <fgColor rgb="FFC6EFCE"/>
        <bgColor rgb="FFC6EFCE"/>
      </patternFill>
    </fill>
    <fill>
      <patternFill patternType="solid">
        <fgColor rgb="FFFFFF00"/>
        <bgColor rgb="FFFFFF00"/>
      </patternFill>
    </fill>
    <fill>
      <patternFill patternType="solid">
        <fgColor rgb="FFB2A1C7"/>
        <bgColor rgb="FFB2A1C7"/>
      </patternFill>
    </fill>
    <fill>
      <patternFill patternType="solid">
        <fgColor rgb="FFD9E2F3"/>
        <bgColor rgb="FFD9E2F3"/>
      </patternFill>
    </fill>
    <fill>
      <patternFill patternType="solid">
        <fgColor rgb="FFE36C09"/>
        <bgColor rgb="FFE36C09"/>
      </patternFill>
    </fill>
    <fill>
      <patternFill patternType="solid">
        <fgColor rgb="FFF1C232"/>
        <bgColor rgb="FFF1C232"/>
      </patternFill>
    </fill>
    <fill>
      <patternFill patternType="solid">
        <fgColor rgb="FF92D050"/>
        <bgColor rgb="FF92D050"/>
      </patternFill>
    </fill>
    <fill>
      <patternFill patternType="solid">
        <fgColor rgb="FFC2D69B"/>
        <bgColor rgb="FFC2D69B"/>
      </patternFill>
    </fill>
    <fill>
      <patternFill patternType="solid">
        <fgColor rgb="FFCCE5FF"/>
        <bgColor rgb="FFCCE5FF"/>
      </patternFill>
    </fill>
    <fill>
      <patternFill patternType="solid">
        <fgColor rgb="FFFFE0E0"/>
        <bgColor rgb="FFFFE0E0"/>
      </patternFill>
    </fill>
    <fill>
      <patternFill patternType="solid">
        <fgColor rgb="FFFFF8DC"/>
        <bgColor rgb="FFFFF8DC"/>
      </patternFill>
    </fill>
    <fill>
      <patternFill patternType="solid">
        <fgColor rgb="FFFFE8CC"/>
        <bgColor rgb="FFFFE8CC"/>
      </patternFill>
    </fill>
    <fill>
      <patternFill patternType="solid">
        <fgColor rgb="FFFFF0D0"/>
        <bgColor rgb="FFFFF0D0"/>
      </patternFill>
    </fill>
    <fill>
      <patternFill patternType="solid">
        <fgColor theme="0"/>
        <bgColor rgb="FFC6EFCE"/>
      </patternFill>
    </fill>
    <fill>
      <patternFill patternType="solid">
        <fgColor rgb="FF00B0F0"/>
        <bgColor indexed="64"/>
      </patternFill>
    </fill>
    <fill>
      <patternFill patternType="solid">
        <fgColor rgb="FFFFCCCC"/>
        <bgColor rgb="FFFFCCCC"/>
      </patternFill>
    </fill>
    <fill>
      <patternFill patternType="solid">
        <fgColor rgb="FFFFFFCC"/>
        <bgColor rgb="FFFFFFCC"/>
      </patternFill>
    </fill>
    <fill>
      <patternFill patternType="solid">
        <fgColor rgb="FFFFF0E0"/>
        <bgColor rgb="FFFFF0E0"/>
      </patternFill>
    </fill>
    <fill>
      <patternFill patternType="solid">
        <fgColor rgb="FFFFFDE0"/>
        <bgColor rgb="FFFFFDE0"/>
      </patternFill>
    </fill>
    <fill>
      <patternFill patternType="solid">
        <fgColor rgb="FFE0F0FF"/>
        <bgColor rgb="FFE0F0FF"/>
      </patternFill>
    </fill>
    <fill>
      <patternFill patternType="solid">
        <fgColor rgb="FFF0F0F0"/>
        <bgColor rgb="FFF0F0F0"/>
      </patternFill>
    </fill>
    <fill>
      <patternFill patternType="solid">
        <fgColor rgb="FFFFFACC"/>
        <bgColor rgb="FFFFFACC"/>
      </patternFill>
    </fill>
    <fill>
      <patternFill patternType="solid">
        <fgColor rgb="FFFFE0B2"/>
        <bgColor rgb="FFFFE0B2"/>
      </patternFill>
    </fill>
    <fill>
      <patternFill patternType="solid">
        <fgColor rgb="FFFFFFF0"/>
        <bgColor rgb="FFFFFFF0"/>
      </patternFill>
    </fill>
    <fill>
      <patternFill patternType="solid">
        <fgColor rgb="FFDDEEFF"/>
        <bgColor rgb="FFDDEEFF"/>
      </patternFill>
    </fill>
    <fill>
      <patternFill patternType="solid">
        <fgColor theme="4" tint="0.79998168889431442"/>
        <bgColor rgb="FFD9E2F3"/>
      </patternFill>
    </fill>
    <fill>
      <patternFill patternType="solid">
        <fgColor theme="4" tint="0.79998168889431442"/>
        <bgColor indexed="64"/>
      </patternFill>
    </fill>
    <fill>
      <patternFill patternType="solid">
        <fgColor theme="4" tint="0.79998168889431442"/>
        <bgColor rgb="FFC6EFCE"/>
      </patternFill>
    </fill>
    <fill>
      <patternFill patternType="solid">
        <fgColor rgb="FF00B0F0"/>
        <bgColor rgb="FFC6EFCE"/>
      </patternFill>
    </fill>
    <fill>
      <patternFill patternType="solid">
        <fgColor rgb="FFB6D7A8"/>
        <bgColor rgb="FFB6D7A8"/>
      </patternFill>
    </fill>
    <fill>
      <patternFill patternType="solid">
        <fgColor rgb="FFFFF8E1"/>
        <bgColor rgb="FFFFF8E1"/>
      </patternFill>
    </fill>
    <fill>
      <patternFill patternType="solid">
        <fgColor theme="0"/>
        <bgColor indexed="64"/>
      </patternFill>
    </fill>
    <fill>
      <patternFill patternType="solid">
        <fgColor rgb="FFFFFF00"/>
        <bgColor indexed="64"/>
      </patternFill>
    </fill>
    <fill>
      <patternFill patternType="solid">
        <fgColor rgb="FF33CAFF"/>
        <bgColor indexed="64"/>
      </patternFill>
    </fill>
    <fill>
      <patternFill patternType="solid">
        <fgColor rgb="FF92D050"/>
        <bgColor indexed="64"/>
      </patternFill>
    </fill>
    <fill>
      <patternFill patternType="solid">
        <fgColor theme="9" tint="0.39997558519241921"/>
        <bgColor indexed="64"/>
      </patternFill>
    </fill>
  </fills>
  <borders count="9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double">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double">
        <color rgb="FF000000"/>
      </left>
      <right style="thin">
        <color rgb="FF000000"/>
      </right>
      <top style="double">
        <color rgb="FF000000"/>
      </top>
      <bottom/>
      <diagonal/>
    </border>
    <border>
      <left/>
      <right style="thin">
        <color rgb="FF000000"/>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right style="double">
        <color rgb="FF000000"/>
      </right>
      <top style="double">
        <color rgb="FF000000"/>
      </top>
      <bottom style="thin">
        <color rgb="FF000000"/>
      </bottom>
      <diagonal/>
    </border>
    <border>
      <left style="double">
        <color rgb="FF000000"/>
      </left>
      <right style="thin">
        <color rgb="FF000000"/>
      </right>
      <top/>
      <bottom/>
      <diagonal/>
    </border>
    <border>
      <left style="double">
        <color rgb="FF000000"/>
      </left>
      <right style="thin">
        <color rgb="FF000000"/>
      </right>
      <top/>
      <bottom style="double">
        <color rgb="FF000000"/>
      </bottom>
      <diagonal/>
    </border>
    <border>
      <left/>
      <right style="thin">
        <color rgb="FF000000"/>
      </right>
      <top style="thin">
        <color rgb="FF000000"/>
      </top>
      <bottom/>
      <diagonal/>
    </border>
    <border>
      <left/>
      <right style="double">
        <color rgb="FF000000"/>
      </right>
      <top style="thin">
        <color rgb="FF000000"/>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right/>
      <top style="thick">
        <color auto="1"/>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rgb="FF000000"/>
      </right>
      <top/>
      <bottom/>
      <diagonal/>
    </border>
    <border>
      <left style="thin">
        <color indexed="64"/>
      </left>
      <right style="thin">
        <color indexed="64"/>
      </right>
      <top/>
      <bottom/>
      <diagonal/>
    </border>
    <border>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top style="thin">
        <color indexed="64"/>
      </top>
      <bottom/>
      <diagonal/>
    </border>
    <border>
      <left/>
      <right/>
      <top style="thin">
        <color rgb="FF000000"/>
      </top>
      <bottom/>
      <diagonal/>
    </border>
    <border diagonalDown="1">
      <left style="medium">
        <color indexed="64"/>
      </left>
      <right style="thin">
        <color indexed="64"/>
      </right>
      <top style="medium">
        <color indexed="64"/>
      </top>
      <bottom style="thin">
        <color indexed="64"/>
      </bottom>
      <diagonal style="thin">
        <color auto="1"/>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top style="thick">
        <color auto="1"/>
      </top>
      <bottom/>
      <diagonal/>
    </border>
    <border>
      <left/>
      <right style="medium">
        <color indexed="64"/>
      </right>
      <top style="thick">
        <color auto="1"/>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diagonal/>
    </border>
    <border>
      <left style="medium">
        <color indexed="64"/>
      </left>
      <right style="thin">
        <color rgb="FF000000"/>
      </right>
      <top/>
      <bottom/>
      <diagonal/>
    </border>
    <border>
      <left/>
      <right style="medium">
        <color indexed="64"/>
      </right>
      <top/>
      <bottom/>
      <diagonal/>
    </border>
    <border>
      <left style="medium">
        <color indexed="64"/>
      </left>
      <right style="thin">
        <color rgb="FF000000"/>
      </right>
      <top/>
      <bottom style="thin">
        <color rgb="FF000000"/>
      </bottom>
      <diagonal/>
    </border>
    <border>
      <left/>
      <right style="medium">
        <color indexed="64"/>
      </right>
      <top/>
      <bottom style="thin">
        <color rgb="FF000000"/>
      </bottom>
      <diagonal/>
    </border>
    <border>
      <left style="thin">
        <color rgb="FF000000"/>
      </left>
      <right style="medium">
        <color indexed="64"/>
      </right>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indexed="64"/>
      </bottom>
      <diagonal/>
    </border>
    <border>
      <left style="thin">
        <color rgb="FF000000"/>
      </left>
      <right style="medium">
        <color indexed="64"/>
      </right>
      <top style="thin">
        <color rgb="FF000000"/>
      </top>
      <bottom style="thin">
        <color indexed="64"/>
      </bottom>
      <diagonal/>
    </border>
    <border>
      <left style="medium">
        <color indexed="64"/>
      </left>
      <right/>
      <top/>
      <bottom style="thin">
        <color rgb="FF000000"/>
      </bottom>
      <diagonal/>
    </border>
    <border>
      <left style="medium">
        <color indexed="64"/>
      </left>
      <right/>
      <top style="thin">
        <color rgb="FF000000"/>
      </top>
      <bottom/>
      <diagonal/>
    </border>
    <border>
      <left style="thin">
        <color rgb="FFBBBBBB"/>
      </left>
      <right style="medium">
        <color indexed="64"/>
      </right>
      <top/>
      <bottom style="thin">
        <color rgb="FFBBBBBB"/>
      </bottom>
      <diagonal/>
    </border>
    <border>
      <left style="thin">
        <color rgb="FFBBBBBB"/>
      </left>
      <right style="medium">
        <color indexed="64"/>
      </right>
      <top style="thin">
        <color rgb="FFBBBBBB"/>
      </top>
      <bottom/>
      <diagonal/>
    </border>
    <border>
      <left/>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thick">
        <color auto="1"/>
      </bottom>
      <diagonal/>
    </border>
    <border>
      <left style="medium">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medium">
        <color indexed="64"/>
      </right>
      <top style="thin">
        <color indexed="64"/>
      </top>
      <bottom style="thin">
        <color rgb="FF000000"/>
      </bottom>
      <diagonal/>
    </border>
    <border>
      <left style="thin">
        <color indexed="64"/>
      </left>
      <right/>
      <top style="medium">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style="thin">
        <color indexed="64"/>
      </top>
      <bottom style="thick">
        <color auto="1"/>
      </bottom>
      <diagonal/>
    </border>
  </borders>
  <cellStyleXfs count="1">
    <xf numFmtId="0" fontId="0" fillId="0" borderId="0"/>
  </cellStyleXfs>
  <cellXfs count="541">
    <xf numFmtId="0" fontId="0" fillId="0" borderId="0" xfId="0"/>
    <xf numFmtId="0" fontId="12" fillId="0" borderId="0" xfId="0" applyFont="1" applyAlignment="1">
      <alignment wrapText="1"/>
    </xf>
    <xf numFmtId="0" fontId="12" fillId="10" borderId="0" xfId="0" applyFont="1" applyFill="1" applyAlignment="1">
      <alignment horizontal="center" wrapText="1"/>
    </xf>
    <xf numFmtId="0" fontId="12" fillId="14" borderId="9" xfId="0" applyFont="1" applyFill="1" applyBorder="1" applyAlignment="1">
      <alignment horizontal="center" wrapText="1"/>
    </xf>
    <xf numFmtId="0" fontId="12" fillId="15" borderId="0" xfId="0" applyFont="1" applyFill="1" applyAlignment="1">
      <alignment horizontal="center" wrapText="1"/>
    </xf>
    <xf numFmtId="0" fontId="12" fillId="0" borderId="0" xfId="0" applyFont="1" applyAlignment="1">
      <alignment horizontal="center" wrapText="1"/>
    </xf>
    <xf numFmtId="0" fontId="12" fillId="8" borderId="11" xfId="0" applyFont="1" applyFill="1" applyBorder="1" applyAlignment="1">
      <alignment horizontal="left" vertical="top" wrapText="1"/>
    </xf>
    <xf numFmtId="0" fontId="12" fillId="0" borderId="12" xfId="0" applyFont="1" applyBorder="1" applyAlignment="1">
      <alignment horizontal="left" wrapText="1"/>
    </xf>
    <xf numFmtId="0" fontId="12" fillId="8" borderId="13" xfId="0" applyFont="1" applyFill="1" applyBorder="1" applyAlignment="1">
      <alignment horizontal="right" vertical="top" wrapText="1"/>
    </xf>
    <xf numFmtId="0" fontId="12" fillId="4" borderId="3" xfId="0" applyFont="1" applyFill="1" applyBorder="1" applyAlignment="1">
      <alignment horizontal="left" vertical="top" wrapText="1"/>
    </xf>
    <xf numFmtId="0" fontId="12" fillId="0" borderId="1" xfId="0" applyFont="1" applyBorder="1" applyAlignment="1">
      <alignment horizontal="left" wrapText="1"/>
    </xf>
    <xf numFmtId="0" fontId="12" fillId="2" borderId="4" xfId="0" applyFont="1" applyFill="1" applyBorder="1" applyAlignment="1">
      <alignment horizontal="right" vertical="top" wrapText="1"/>
    </xf>
    <xf numFmtId="0" fontId="12" fillId="4" borderId="4" xfId="0" applyFont="1" applyFill="1" applyBorder="1" applyAlignment="1">
      <alignment horizontal="right" vertical="top" wrapText="1"/>
    </xf>
    <xf numFmtId="0" fontId="12" fillId="8" borderId="3" xfId="0" applyFont="1" applyFill="1" applyBorder="1" applyAlignment="1">
      <alignment horizontal="left" vertical="top" wrapText="1"/>
    </xf>
    <xf numFmtId="0" fontId="12" fillId="8" borderId="16" xfId="0" applyFont="1" applyFill="1" applyBorder="1" applyAlignment="1">
      <alignment horizontal="left" vertical="top" wrapText="1"/>
    </xf>
    <xf numFmtId="0" fontId="12" fillId="0" borderId="9" xfId="0" applyFont="1" applyBorder="1" applyAlignment="1">
      <alignment horizontal="center" wrapText="1"/>
    </xf>
    <xf numFmtId="0" fontId="12" fillId="0" borderId="17" xfId="0" applyFont="1" applyBorder="1" applyAlignment="1">
      <alignment horizontal="center" wrapText="1"/>
    </xf>
    <xf numFmtId="0" fontId="10" fillId="4" borderId="19" xfId="0" applyFont="1" applyFill="1" applyBorder="1" applyAlignment="1">
      <alignment horizontal="left" vertical="top" wrapText="1"/>
    </xf>
    <xf numFmtId="0" fontId="12" fillId="4" borderId="19" xfId="0" applyFont="1" applyFill="1" applyBorder="1" applyAlignment="1">
      <alignment horizontal="left" vertical="top" wrapText="1"/>
    </xf>
    <xf numFmtId="0" fontId="12" fillId="4" borderId="20" xfId="0" applyFont="1" applyFill="1" applyBorder="1" applyAlignment="1">
      <alignment horizontal="right" vertical="top" wrapText="1"/>
    </xf>
    <xf numFmtId="0" fontId="12" fillId="8" borderId="1" xfId="0" applyFont="1" applyFill="1" applyBorder="1" applyAlignment="1">
      <alignment horizontal="left" wrapText="1"/>
    </xf>
    <xf numFmtId="0" fontId="12" fillId="0" borderId="1" xfId="0" applyFont="1" applyBorder="1" applyAlignment="1">
      <alignment wrapText="1"/>
    </xf>
    <xf numFmtId="0" fontId="12" fillId="4" borderId="22" xfId="0" applyFont="1" applyFill="1" applyBorder="1" applyAlignment="1">
      <alignment horizontal="right" vertical="top" wrapText="1"/>
    </xf>
    <xf numFmtId="0" fontId="12" fillId="2" borderId="1" xfId="0" applyFont="1" applyFill="1" applyBorder="1" applyAlignment="1">
      <alignment wrapText="1"/>
    </xf>
    <xf numFmtId="0" fontId="12" fillId="8" borderId="22" xfId="0" applyFont="1" applyFill="1" applyBorder="1" applyAlignment="1">
      <alignment horizontal="right" vertical="top" wrapText="1"/>
    </xf>
    <xf numFmtId="0" fontId="12" fillId="0" borderId="24" xfId="0" applyFont="1" applyBorder="1" applyAlignment="1">
      <alignment wrapText="1"/>
    </xf>
    <xf numFmtId="0" fontId="12" fillId="0" borderId="25" xfId="0" applyFont="1" applyBorder="1" applyAlignment="1">
      <alignment wrapText="1"/>
    </xf>
    <xf numFmtId="0" fontId="12" fillId="4" borderId="7" xfId="0" applyFont="1" applyFill="1" applyBorder="1" applyAlignment="1">
      <alignment wrapText="1"/>
    </xf>
    <xf numFmtId="0" fontId="12" fillId="4" borderId="7" xfId="0" applyFont="1" applyFill="1" applyBorder="1" applyAlignment="1">
      <alignment horizontal="right" vertical="top" wrapText="1"/>
    </xf>
    <xf numFmtId="0" fontId="12" fillId="2" borderId="1" xfId="0" applyFont="1" applyFill="1" applyBorder="1" applyAlignment="1">
      <alignment vertical="top" wrapText="1"/>
    </xf>
    <xf numFmtId="0" fontId="12" fillId="4" borderId="1" xfId="0" applyFont="1" applyFill="1" applyBorder="1" applyAlignment="1">
      <alignment horizontal="right" vertical="top" wrapText="1"/>
    </xf>
    <xf numFmtId="0" fontId="12" fillId="0" borderId="0" xfId="0" applyFont="1" applyAlignment="1">
      <alignment horizontal="center" vertical="center" wrapText="1"/>
    </xf>
    <xf numFmtId="0" fontId="17" fillId="9" borderId="2" xfId="0" applyFont="1" applyFill="1" applyBorder="1" applyAlignment="1">
      <alignment vertical="top" wrapText="1"/>
    </xf>
    <xf numFmtId="0" fontId="17" fillId="9" borderId="8" xfId="0" applyFont="1" applyFill="1" applyBorder="1" applyAlignment="1">
      <alignment vertical="top" wrapText="1"/>
    </xf>
    <xf numFmtId="0" fontId="17" fillId="9" borderId="1" xfId="0" applyFont="1" applyFill="1" applyBorder="1" applyAlignment="1">
      <alignment vertical="top" wrapText="1"/>
    </xf>
    <xf numFmtId="0" fontId="9" fillId="0" borderId="0" xfId="0" applyFont="1" applyAlignment="1">
      <alignment horizontal="center" vertical="center"/>
    </xf>
    <xf numFmtId="0" fontId="9" fillId="0" borderId="0" xfId="0" applyFont="1" applyAlignment="1">
      <alignment horizontal="center" vertical="center" wrapText="1"/>
    </xf>
    <xf numFmtId="0" fontId="9" fillId="0" borderId="0" xfId="0" applyFont="1" applyAlignment="1">
      <alignment wrapText="1"/>
    </xf>
    <xf numFmtId="0" fontId="9" fillId="0" borderId="0" xfId="0" applyFont="1"/>
    <xf numFmtId="0" fontId="15" fillId="0" borderId="0" xfId="0" applyFont="1"/>
    <xf numFmtId="0" fontId="19" fillId="9" borderId="1" xfId="0" applyFont="1" applyFill="1" applyBorder="1" applyAlignment="1">
      <alignment vertical="top" wrapText="1"/>
    </xf>
    <xf numFmtId="0" fontId="22" fillId="11" borderId="1"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22" fillId="13" borderId="1" xfId="0" applyFont="1" applyFill="1" applyBorder="1" applyAlignment="1">
      <alignment horizontal="center" vertical="center" wrapText="1"/>
    </xf>
    <xf numFmtId="0" fontId="9" fillId="3" borderId="0" xfId="0" applyFont="1" applyFill="1" applyAlignment="1">
      <alignment wrapText="1"/>
    </xf>
    <xf numFmtId="0" fontId="22" fillId="13" borderId="1" xfId="0" applyFont="1" applyFill="1" applyBorder="1" applyAlignment="1">
      <alignment horizontal="center" vertical="center"/>
    </xf>
    <xf numFmtId="0" fontId="22" fillId="16" borderId="1" xfId="0" applyFont="1" applyFill="1" applyBorder="1" applyAlignment="1">
      <alignment horizontal="center" vertical="center" wrapText="1"/>
    </xf>
    <xf numFmtId="0" fontId="19" fillId="18" borderId="1" xfId="0" applyFont="1" applyFill="1" applyBorder="1" applyAlignment="1">
      <alignment horizontal="left" vertical="top" wrapText="1"/>
    </xf>
    <xf numFmtId="0" fontId="19" fillId="19" borderId="1" xfId="0" applyFont="1" applyFill="1" applyBorder="1" applyAlignment="1">
      <alignment horizontal="left" vertical="top" wrapText="1"/>
    </xf>
    <xf numFmtId="0" fontId="19" fillId="20" borderId="1" xfId="0" applyFont="1" applyFill="1" applyBorder="1" applyAlignment="1">
      <alignment horizontal="left" vertical="top" wrapText="1"/>
    </xf>
    <xf numFmtId="0" fontId="19" fillId="18" borderId="9" xfId="0" applyFont="1" applyFill="1" applyBorder="1" applyAlignment="1">
      <alignment horizontal="left" vertical="top" wrapText="1"/>
    </xf>
    <xf numFmtId="0" fontId="9" fillId="0" borderId="28" xfId="0" applyFont="1" applyBorder="1"/>
    <xf numFmtId="0" fontId="19" fillId="9" borderId="27" xfId="0" applyFont="1" applyFill="1" applyBorder="1" applyAlignment="1">
      <alignment vertical="top" wrapText="1"/>
    </xf>
    <xf numFmtId="0" fontId="19" fillId="0" borderId="27" xfId="0" applyFont="1" applyBorder="1"/>
    <xf numFmtId="0" fontId="9" fillId="0" borderId="27" xfId="0" applyFont="1" applyBorder="1"/>
    <xf numFmtId="0" fontId="17" fillId="9" borderId="27" xfId="0" applyFont="1" applyFill="1" applyBorder="1" applyAlignment="1">
      <alignment vertical="top" wrapText="1"/>
    </xf>
    <xf numFmtId="0" fontId="19" fillId="24" borderId="27" xfId="0" applyFont="1" applyFill="1" applyBorder="1" applyAlignment="1">
      <alignment horizontal="left" vertical="top" wrapText="1"/>
    </xf>
    <xf numFmtId="0" fontId="19" fillId="25" borderId="27" xfId="0" applyFont="1" applyFill="1" applyBorder="1" applyAlignment="1">
      <alignment horizontal="left" vertical="top" wrapText="1"/>
    </xf>
    <xf numFmtId="0" fontId="19" fillId="17" borderId="27" xfId="0" applyFont="1" applyFill="1" applyBorder="1" applyAlignment="1">
      <alignment horizontal="left" vertical="top" wrapText="1"/>
    </xf>
    <xf numFmtId="0" fontId="19" fillId="18" borderId="27" xfId="0" applyFont="1" applyFill="1" applyBorder="1" applyAlignment="1">
      <alignment horizontal="left" vertical="top" wrapText="1"/>
    </xf>
    <xf numFmtId="0" fontId="19" fillId="18" borderId="27" xfId="0" applyFont="1" applyFill="1" applyBorder="1" applyAlignment="1">
      <alignment vertical="top" wrapText="1"/>
    </xf>
    <xf numFmtId="0" fontId="19" fillId="26" borderId="27" xfId="0" applyFont="1" applyFill="1" applyBorder="1" applyAlignment="1">
      <alignment horizontal="left" vertical="top" wrapText="1"/>
    </xf>
    <xf numFmtId="0" fontId="19" fillId="26" borderId="27" xfId="0" applyFont="1" applyFill="1" applyBorder="1" applyAlignment="1">
      <alignment vertical="top" wrapText="1"/>
    </xf>
    <xf numFmtId="0" fontId="19" fillId="27" borderId="27" xfId="0" applyFont="1" applyFill="1" applyBorder="1" applyAlignment="1">
      <alignment horizontal="left" vertical="top" wrapText="1"/>
    </xf>
    <xf numFmtId="0" fontId="19" fillId="27" borderId="27" xfId="0" applyFont="1" applyFill="1" applyBorder="1" applyAlignment="1">
      <alignment vertical="top" wrapText="1"/>
    </xf>
    <xf numFmtId="0" fontId="19" fillId="28" borderId="27" xfId="0" applyFont="1" applyFill="1" applyBorder="1" applyAlignment="1">
      <alignment horizontal="left" vertical="top" wrapText="1"/>
    </xf>
    <xf numFmtId="0" fontId="19" fillId="28" borderId="27" xfId="0" applyFont="1" applyFill="1" applyBorder="1" applyAlignment="1">
      <alignment vertical="top" wrapText="1"/>
    </xf>
    <xf numFmtId="0" fontId="19" fillId="29" borderId="27" xfId="0" applyFont="1" applyFill="1" applyBorder="1" applyAlignment="1">
      <alignment horizontal="left" vertical="top" wrapText="1"/>
    </xf>
    <xf numFmtId="0" fontId="19" fillId="29" borderId="27" xfId="0" applyFont="1" applyFill="1" applyBorder="1" applyAlignment="1">
      <alignment vertical="top" wrapText="1"/>
    </xf>
    <xf numFmtId="0" fontId="19" fillId="9" borderId="27" xfId="0" applyFont="1" applyFill="1" applyBorder="1" applyAlignment="1">
      <alignment horizontal="left" vertical="top" wrapText="1"/>
    </xf>
    <xf numFmtId="0" fontId="30" fillId="31" borderId="27" xfId="0" applyFont="1" applyFill="1" applyBorder="1" applyAlignment="1">
      <alignment horizontal="left" vertical="top" wrapText="1"/>
    </xf>
    <xf numFmtId="0" fontId="19" fillId="32" borderId="27" xfId="0" applyFont="1" applyFill="1" applyBorder="1" applyAlignment="1">
      <alignment horizontal="left" vertical="top" wrapText="1"/>
    </xf>
    <xf numFmtId="0" fontId="19" fillId="33" borderId="27" xfId="0" applyFont="1" applyFill="1" applyBorder="1" applyAlignment="1">
      <alignment horizontal="left" vertical="top" wrapText="1"/>
    </xf>
    <xf numFmtId="0" fontId="9" fillId="0" borderId="0" xfId="0" applyFont="1" applyAlignment="1">
      <alignment horizontal="center"/>
    </xf>
    <xf numFmtId="0" fontId="9" fillId="0" borderId="30" xfId="0" applyFont="1" applyBorder="1"/>
    <xf numFmtId="0" fontId="9" fillId="0" borderId="31" xfId="0" applyFont="1" applyBorder="1"/>
    <xf numFmtId="0" fontId="19" fillId="0" borderId="32" xfId="0" applyFont="1" applyBorder="1"/>
    <xf numFmtId="0" fontId="9" fillId="0" borderId="32" xfId="0" applyFont="1" applyBorder="1"/>
    <xf numFmtId="0" fontId="19" fillId="0" borderId="0" xfId="0" applyFont="1"/>
    <xf numFmtId="0" fontId="17" fillId="9" borderId="33" xfId="0" applyFont="1" applyFill="1" applyBorder="1" applyAlignment="1">
      <alignment vertical="top" wrapText="1"/>
    </xf>
    <xf numFmtId="0" fontId="17" fillId="9" borderId="26" xfId="0" applyFont="1" applyFill="1" applyBorder="1" applyAlignment="1">
      <alignment vertical="top" wrapText="1"/>
    </xf>
    <xf numFmtId="0" fontId="19" fillId="9" borderId="7" xfId="0" applyFont="1" applyFill="1" applyBorder="1" applyAlignment="1">
      <alignment vertical="top" wrapText="1"/>
    </xf>
    <xf numFmtId="0" fontId="22" fillId="11" borderId="9" xfId="0" applyFont="1" applyFill="1" applyBorder="1" applyAlignment="1">
      <alignment horizontal="center" vertical="center" wrapText="1"/>
    </xf>
    <xf numFmtId="0" fontId="22" fillId="11" borderId="26" xfId="0" applyFont="1" applyFill="1" applyBorder="1" applyAlignment="1">
      <alignment horizontal="center" vertical="center" wrapText="1"/>
    </xf>
    <xf numFmtId="0" fontId="19" fillId="9" borderId="9" xfId="0" applyFont="1" applyFill="1" applyBorder="1" applyAlignment="1">
      <alignment vertical="top" wrapText="1"/>
    </xf>
    <xf numFmtId="0" fontId="22" fillId="13" borderId="7" xfId="0" applyFont="1" applyFill="1" applyBorder="1" applyAlignment="1">
      <alignment horizontal="center" vertical="center" wrapText="1"/>
    </xf>
    <xf numFmtId="0" fontId="22" fillId="11" borderId="7" xfId="0" applyFont="1" applyFill="1" applyBorder="1" applyAlignment="1">
      <alignment horizontal="center" vertical="center" wrapText="1"/>
    </xf>
    <xf numFmtId="0" fontId="32" fillId="0" borderId="0" xfId="0" applyFont="1"/>
    <xf numFmtId="0" fontId="21" fillId="7" borderId="26" xfId="0" applyFont="1" applyFill="1" applyBorder="1" applyAlignment="1">
      <alignment horizontal="center" vertical="center" wrapText="1"/>
    </xf>
    <xf numFmtId="0" fontId="9" fillId="0" borderId="27"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xf>
    <xf numFmtId="0" fontId="9" fillId="0" borderId="39" xfId="0" applyFont="1" applyBorder="1" applyAlignment="1">
      <alignment horizontal="center" vertical="center"/>
    </xf>
    <xf numFmtId="0" fontId="9" fillId="0" borderId="40" xfId="0" applyFont="1" applyBorder="1" applyAlignment="1">
      <alignment horizontal="center" vertical="center"/>
    </xf>
    <xf numFmtId="0" fontId="9" fillId="0" borderId="32" xfId="0" applyFont="1" applyBorder="1" applyAlignment="1">
      <alignment horizontal="center" vertical="center"/>
    </xf>
    <xf numFmtId="0" fontId="16" fillId="12" borderId="30" xfId="0" applyFont="1" applyFill="1" applyBorder="1"/>
    <xf numFmtId="0" fontId="22" fillId="13" borderId="9" xfId="0" applyFont="1" applyFill="1" applyBorder="1" applyAlignment="1">
      <alignment horizontal="center" vertical="center"/>
    </xf>
    <xf numFmtId="0" fontId="22" fillId="13" borderId="7" xfId="0" applyFont="1" applyFill="1" applyBorder="1" applyAlignment="1">
      <alignment horizontal="center" vertical="center"/>
    </xf>
    <xf numFmtId="0" fontId="16" fillId="12" borderId="41" xfId="0" applyFont="1" applyFill="1" applyBorder="1"/>
    <xf numFmtId="0" fontId="22" fillId="13" borderId="26" xfId="0" applyFont="1" applyFill="1" applyBorder="1" applyAlignment="1">
      <alignment horizontal="center" vertical="center"/>
    </xf>
    <xf numFmtId="0" fontId="22" fillId="5" borderId="7" xfId="0" applyFont="1" applyFill="1" applyBorder="1" applyAlignment="1">
      <alignment horizontal="center" vertical="center" wrapText="1"/>
    </xf>
    <xf numFmtId="0" fontId="16" fillId="12" borderId="41" xfId="0" applyFont="1" applyFill="1" applyBorder="1" applyAlignment="1">
      <alignment vertical="center"/>
    </xf>
    <xf numFmtId="0" fontId="22" fillId="5" borderId="26" xfId="0" applyFont="1" applyFill="1" applyBorder="1" applyAlignment="1">
      <alignment horizontal="center" vertical="center" wrapText="1"/>
    </xf>
    <xf numFmtId="0" fontId="16" fillId="6" borderId="41" xfId="0" applyFont="1" applyFill="1" applyBorder="1" applyAlignment="1">
      <alignment wrapText="1"/>
    </xf>
    <xf numFmtId="0" fontId="16" fillId="6" borderId="42" xfId="0" applyFont="1" applyFill="1" applyBorder="1" applyAlignment="1">
      <alignment wrapText="1"/>
    </xf>
    <xf numFmtId="0" fontId="16" fillId="6" borderId="41" xfId="0" applyFont="1" applyFill="1" applyBorder="1"/>
    <xf numFmtId="0" fontId="16" fillId="6" borderId="42" xfId="0" applyFont="1" applyFill="1" applyBorder="1"/>
    <xf numFmtId="0" fontId="22" fillId="5" borderId="9" xfId="0" applyFont="1" applyFill="1" applyBorder="1" applyAlignment="1">
      <alignment horizontal="center" vertical="center" wrapText="1"/>
    </xf>
    <xf numFmtId="0" fontId="19" fillId="9" borderId="26" xfId="0" applyFont="1" applyFill="1" applyBorder="1" applyAlignment="1">
      <alignment vertical="top" wrapText="1"/>
    </xf>
    <xf numFmtId="0" fontId="16" fillId="12" borderId="30" xfId="0" applyFont="1" applyFill="1" applyBorder="1" applyAlignment="1">
      <alignment horizontal="left"/>
    </xf>
    <xf numFmtId="0" fontId="16" fillId="12" borderId="41" xfId="0" applyFont="1" applyFill="1" applyBorder="1" applyAlignment="1">
      <alignment horizontal="left"/>
    </xf>
    <xf numFmtId="0" fontId="16" fillId="12" borderId="41" xfId="0" applyFont="1" applyFill="1" applyBorder="1" applyAlignment="1">
      <alignment horizontal="center" vertical="center"/>
    </xf>
    <xf numFmtId="0" fontId="19" fillId="22" borderId="27" xfId="0" applyFont="1" applyFill="1" applyBorder="1" applyAlignment="1">
      <alignment horizontal="center" vertical="center" wrapText="1"/>
    </xf>
    <xf numFmtId="0" fontId="22" fillId="13" borderId="9" xfId="0" applyFont="1" applyFill="1" applyBorder="1" applyAlignment="1">
      <alignment horizontal="center" vertical="center" wrapText="1"/>
    </xf>
    <xf numFmtId="0" fontId="30" fillId="31" borderId="27" xfId="0" applyFont="1" applyFill="1" applyBorder="1" applyAlignment="1">
      <alignment horizontal="left" vertical="top"/>
    </xf>
    <xf numFmtId="0" fontId="19" fillId="32" borderId="27" xfId="0" applyFont="1" applyFill="1" applyBorder="1" applyAlignment="1">
      <alignment horizontal="center"/>
    </xf>
    <xf numFmtId="0" fontId="19" fillId="33" borderId="27" xfId="0" applyFont="1" applyFill="1" applyBorder="1" applyAlignment="1">
      <alignment horizontal="center"/>
    </xf>
    <xf numFmtId="0" fontId="36" fillId="0" borderId="0" xfId="0" applyFont="1" applyAlignment="1">
      <alignment horizontal="center" vertical="center"/>
    </xf>
    <xf numFmtId="0" fontId="19" fillId="9" borderId="32" xfId="0" applyFont="1" applyFill="1" applyBorder="1" applyAlignment="1">
      <alignment vertical="top" wrapText="1"/>
    </xf>
    <xf numFmtId="0" fontId="19" fillId="35" borderId="41" xfId="0" applyFont="1" applyFill="1" applyBorder="1" applyAlignment="1">
      <alignment horizontal="center" vertical="center" wrapText="1"/>
    </xf>
    <xf numFmtId="0" fontId="19" fillId="9" borderId="34" xfId="0" applyFont="1" applyFill="1" applyBorder="1" applyAlignment="1">
      <alignment vertical="top" wrapText="1"/>
    </xf>
    <xf numFmtId="0" fontId="19" fillId="9" borderId="29" xfId="0" applyFont="1" applyFill="1" applyBorder="1" applyAlignment="1">
      <alignment vertical="top" wrapText="1"/>
    </xf>
    <xf numFmtId="0" fontId="27" fillId="9" borderId="32" xfId="0" applyFont="1" applyFill="1" applyBorder="1" applyAlignment="1">
      <alignment vertical="top" wrapText="1"/>
    </xf>
    <xf numFmtId="0" fontId="17" fillId="9" borderId="32" xfId="0" applyFont="1" applyFill="1" applyBorder="1" applyAlignment="1">
      <alignment vertical="top" wrapText="1"/>
    </xf>
    <xf numFmtId="0" fontId="15" fillId="24" borderId="32" xfId="0" applyFont="1" applyFill="1" applyBorder="1" applyAlignment="1">
      <alignment horizontal="right" vertical="top"/>
    </xf>
    <xf numFmtId="0" fontId="15" fillId="24" borderId="32" xfId="0" applyFont="1" applyFill="1" applyBorder="1" applyAlignment="1">
      <alignment horizontal="left" vertical="top" wrapText="1"/>
    </xf>
    <xf numFmtId="0" fontId="28" fillId="24" borderId="32" xfId="0" applyFont="1" applyFill="1" applyBorder="1" applyAlignment="1">
      <alignment horizontal="left" vertical="top" wrapText="1"/>
    </xf>
    <xf numFmtId="0" fontId="19" fillId="17" borderId="29" xfId="0" applyFont="1" applyFill="1" applyBorder="1" applyAlignment="1">
      <alignment horizontal="left" vertical="top" wrapText="1"/>
    </xf>
    <xf numFmtId="0" fontId="19" fillId="29" borderId="29" xfId="0" applyFont="1" applyFill="1" applyBorder="1" applyAlignment="1">
      <alignment horizontal="left" vertical="top" wrapText="1"/>
    </xf>
    <xf numFmtId="0" fontId="19" fillId="29" borderId="29" xfId="0" applyFont="1" applyFill="1" applyBorder="1" applyAlignment="1">
      <alignment vertical="top" wrapText="1"/>
    </xf>
    <xf numFmtId="0" fontId="19" fillId="24" borderId="32" xfId="0" applyFont="1" applyFill="1" applyBorder="1" applyAlignment="1">
      <alignment horizontal="left" vertical="top" wrapText="1"/>
    </xf>
    <xf numFmtId="0" fontId="19" fillId="18" borderId="32" xfId="0" applyFont="1" applyFill="1" applyBorder="1" applyAlignment="1">
      <alignment horizontal="left" vertical="top" wrapText="1"/>
    </xf>
    <xf numFmtId="0" fontId="19" fillId="18" borderId="32" xfId="0" applyFont="1" applyFill="1" applyBorder="1" applyAlignment="1">
      <alignment vertical="top" wrapText="1"/>
    </xf>
    <xf numFmtId="0" fontId="17" fillId="9" borderId="34" xfId="0" applyFont="1" applyFill="1" applyBorder="1" applyAlignment="1">
      <alignment vertical="top" wrapText="1"/>
    </xf>
    <xf numFmtId="0" fontId="27" fillId="9" borderId="29" xfId="0" applyFont="1" applyFill="1" applyBorder="1" applyAlignment="1">
      <alignment vertical="top" wrapText="1"/>
    </xf>
    <xf numFmtId="0" fontId="17" fillId="9" borderId="29" xfId="0" applyFont="1" applyFill="1" applyBorder="1" applyAlignment="1">
      <alignment vertical="top" wrapText="1"/>
    </xf>
    <xf numFmtId="0" fontId="19" fillId="35" borderId="35" xfId="0" applyFont="1" applyFill="1" applyBorder="1" applyAlignment="1">
      <alignment horizontal="center" vertical="center" wrapText="1"/>
    </xf>
    <xf numFmtId="0" fontId="19" fillId="23" borderId="41" xfId="0" applyFont="1" applyFill="1" applyBorder="1" applyAlignment="1">
      <alignment horizontal="center" vertical="center" wrapText="1"/>
    </xf>
    <xf numFmtId="0" fontId="19" fillId="23" borderId="42" xfId="0" applyFont="1" applyFill="1" applyBorder="1" applyAlignment="1">
      <alignment horizontal="center" vertical="center" wrapText="1"/>
    </xf>
    <xf numFmtId="0" fontId="19" fillId="18" borderId="7" xfId="0" applyFont="1" applyFill="1" applyBorder="1" applyAlignment="1">
      <alignment horizontal="left" vertical="top" wrapText="1"/>
    </xf>
    <xf numFmtId="0" fontId="19" fillId="19" borderId="9" xfId="0" applyFont="1" applyFill="1" applyBorder="1" applyAlignment="1">
      <alignment horizontal="left" vertical="top" wrapText="1"/>
    </xf>
    <xf numFmtId="0" fontId="22" fillId="16" borderId="9" xfId="0" applyFont="1" applyFill="1" applyBorder="1" applyAlignment="1">
      <alignment horizontal="center" vertical="center" wrapText="1"/>
    </xf>
    <xf numFmtId="0" fontId="19" fillId="21" borderId="26" xfId="0" applyFont="1" applyFill="1" applyBorder="1" applyAlignment="1">
      <alignment horizontal="left" vertical="top" wrapText="1"/>
    </xf>
    <xf numFmtId="0" fontId="19" fillId="20" borderId="9" xfId="0" applyFont="1" applyFill="1" applyBorder="1" applyAlignment="1">
      <alignment horizontal="left" vertical="top" wrapText="1"/>
    </xf>
    <xf numFmtId="0" fontId="19" fillId="19" borderId="7" xfId="0" applyFont="1" applyFill="1" applyBorder="1" applyAlignment="1">
      <alignment horizontal="left" vertical="top" wrapText="1"/>
    </xf>
    <xf numFmtId="0" fontId="22" fillId="16" borderId="7" xfId="0" applyFont="1" applyFill="1" applyBorder="1" applyAlignment="1">
      <alignment horizontal="center" vertical="center" wrapText="1"/>
    </xf>
    <xf numFmtId="0" fontId="22" fillId="13" borderId="26" xfId="0" applyFont="1" applyFill="1" applyBorder="1" applyAlignment="1">
      <alignment horizontal="center" vertical="center" wrapText="1"/>
    </xf>
    <xf numFmtId="0" fontId="17" fillId="9" borderId="9" xfId="0" applyFont="1" applyFill="1" applyBorder="1" applyAlignment="1">
      <alignment vertical="top" wrapText="1"/>
    </xf>
    <xf numFmtId="0" fontId="9" fillId="0" borderId="44" xfId="0" applyFont="1" applyBorder="1"/>
    <xf numFmtId="0" fontId="9" fillId="0" borderId="46" xfId="0" applyFont="1" applyBorder="1" applyAlignment="1">
      <alignment horizontal="center"/>
    </xf>
    <xf numFmtId="0" fontId="18" fillId="3" borderId="35" xfId="0" applyFont="1" applyFill="1" applyBorder="1"/>
    <xf numFmtId="0" fontId="42" fillId="28" borderId="1" xfId="0" applyFont="1" applyFill="1" applyBorder="1" applyAlignment="1">
      <alignment horizontal="center" vertical="center" wrapText="1"/>
    </xf>
    <xf numFmtId="0" fontId="22" fillId="38" borderId="1" xfId="0" applyFont="1" applyFill="1" applyBorder="1" applyAlignment="1">
      <alignment horizontal="center" vertical="center" wrapText="1"/>
    </xf>
    <xf numFmtId="0" fontId="43" fillId="29" borderId="1" xfId="0" applyFont="1" applyFill="1" applyBorder="1" applyAlignment="1">
      <alignment horizontal="center" vertical="center" wrapText="1"/>
    </xf>
    <xf numFmtId="0" fontId="19" fillId="9" borderId="50" xfId="0" applyFont="1" applyFill="1" applyBorder="1" applyAlignment="1">
      <alignment vertical="top" wrapText="1"/>
    </xf>
    <xf numFmtId="0" fontId="22" fillId="5" borderId="50" xfId="0" applyFont="1" applyFill="1" applyBorder="1" applyAlignment="1">
      <alignment horizontal="center" vertical="center" wrapText="1"/>
    </xf>
    <xf numFmtId="0" fontId="26" fillId="17" borderId="27" xfId="0" applyFont="1" applyFill="1" applyBorder="1" applyAlignment="1">
      <alignment horizontal="center" vertical="center" wrapText="1"/>
    </xf>
    <xf numFmtId="0" fontId="38" fillId="33" borderId="27" xfId="0" applyFont="1" applyFill="1" applyBorder="1" applyAlignment="1">
      <alignment horizontal="left" vertical="top" wrapText="1"/>
    </xf>
    <xf numFmtId="0" fontId="45" fillId="31" borderId="27" xfId="0" applyFont="1" applyFill="1" applyBorder="1" applyAlignment="1">
      <alignment horizontal="center" vertical="center" wrapText="1"/>
    </xf>
    <xf numFmtId="0" fontId="40" fillId="31" borderId="27" xfId="0" applyFont="1" applyFill="1" applyBorder="1" applyAlignment="1">
      <alignment horizontal="left" vertical="top" wrapText="1"/>
    </xf>
    <xf numFmtId="0" fontId="22" fillId="16" borderId="27" xfId="0" applyFont="1" applyFill="1" applyBorder="1" applyAlignment="1">
      <alignment horizontal="center" vertical="center" wrapText="1"/>
    </xf>
    <xf numFmtId="0" fontId="16" fillId="25" borderId="1" xfId="0" applyFont="1" applyFill="1" applyBorder="1" applyAlignment="1">
      <alignment horizontal="center" vertical="center" wrapText="1"/>
    </xf>
    <xf numFmtId="0" fontId="46" fillId="18" borderId="1" xfId="0" applyFont="1" applyFill="1" applyBorder="1" applyAlignment="1">
      <alignment horizontal="center" vertical="center" wrapText="1"/>
    </xf>
    <xf numFmtId="0" fontId="47" fillId="26" borderId="1" xfId="0" applyFont="1" applyFill="1" applyBorder="1" applyAlignment="1">
      <alignment horizontal="center" vertical="center" wrapText="1"/>
    </xf>
    <xf numFmtId="0" fontId="48" fillId="27" borderId="1" xfId="0" applyFont="1" applyFill="1" applyBorder="1" applyAlignment="1">
      <alignment horizontal="center" vertical="center" wrapText="1"/>
    </xf>
    <xf numFmtId="0" fontId="49" fillId="17" borderId="27" xfId="0" applyFont="1" applyFill="1" applyBorder="1" applyAlignment="1">
      <alignment horizontal="center" vertical="center" wrapText="1"/>
    </xf>
    <xf numFmtId="0" fontId="16" fillId="25" borderId="27" xfId="0" applyFont="1" applyFill="1" applyBorder="1" applyAlignment="1">
      <alignment horizontal="center" vertical="center" wrapText="1"/>
    </xf>
    <xf numFmtId="0" fontId="41" fillId="39" borderId="27" xfId="0" applyFont="1" applyFill="1" applyBorder="1" applyAlignment="1">
      <alignment horizontal="left" vertical="top" wrapText="1"/>
    </xf>
    <xf numFmtId="0" fontId="38" fillId="32" borderId="27" xfId="0" applyFont="1" applyFill="1" applyBorder="1" applyAlignment="1">
      <alignment horizontal="left" vertical="top" wrapText="1"/>
    </xf>
    <xf numFmtId="0" fontId="23" fillId="24" borderId="1" xfId="0" applyFont="1" applyFill="1" applyBorder="1" applyAlignment="1">
      <alignment horizontal="center" vertical="center" wrapText="1"/>
    </xf>
    <xf numFmtId="0" fontId="22" fillId="13" borderId="27" xfId="0" applyFont="1" applyFill="1" applyBorder="1" applyAlignment="1">
      <alignment horizontal="center" vertical="center"/>
    </xf>
    <xf numFmtId="0" fontId="22" fillId="5" borderId="27" xfId="0" applyFont="1" applyFill="1" applyBorder="1" applyAlignment="1">
      <alignment horizontal="center" vertical="center" wrapText="1"/>
    </xf>
    <xf numFmtId="0" fontId="37" fillId="0" borderId="27" xfId="0" applyFont="1" applyBorder="1" applyAlignment="1">
      <alignment horizontal="left" vertical="top" wrapText="1"/>
    </xf>
    <xf numFmtId="0" fontId="23" fillId="24" borderId="5" xfId="0" applyFont="1" applyFill="1" applyBorder="1" applyAlignment="1">
      <alignment horizontal="center" vertical="center" wrapText="1"/>
    </xf>
    <xf numFmtId="0" fontId="19" fillId="23" borderId="35" xfId="0" applyFont="1" applyFill="1" applyBorder="1" applyAlignment="1">
      <alignment horizontal="center" vertical="center" wrapText="1"/>
    </xf>
    <xf numFmtId="0" fontId="19" fillId="40" borderId="41" xfId="0" applyFont="1" applyFill="1" applyBorder="1" applyAlignment="1">
      <alignment horizontal="center" vertical="center" wrapText="1"/>
    </xf>
    <xf numFmtId="0" fontId="50" fillId="35" borderId="6" xfId="0" applyFont="1" applyFill="1" applyBorder="1"/>
    <xf numFmtId="0" fontId="50" fillId="23" borderId="41" xfId="0" applyFont="1" applyFill="1" applyBorder="1"/>
    <xf numFmtId="0" fontId="50" fillId="35" borderId="8" xfId="0" applyFont="1" applyFill="1" applyBorder="1"/>
    <xf numFmtId="0" fontId="19" fillId="23" borderId="41" xfId="0" applyFont="1" applyFill="1" applyBorder="1" applyAlignment="1">
      <alignment wrapText="1"/>
    </xf>
    <xf numFmtId="0" fontId="50" fillId="23" borderId="41" xfId="0" applyFont="1" applyFill="1" applyBorder="1" applyAlignment="1">
      <alignment wrapText="1"/>
    </xf>
    <xf numFmtId="0" fontId="50" fillId="0" borderId="43" xfId="0" applyFont="1" applyBorder="1" applyAlignment="1">
      <alignment wrapText="1"/>
    </xf>
    <xf numFmtId="0" fontId="50" fillId="40" borderId="41" xfId="0" applyFont="1" applyFill="1" applyBorder="1" applyAlignment="1">
      <alignment wrapText="1"/>
    </xf>
    <xf numFmtId="0" fontId="50" fillId="23" borderId="35" xfId="0" applyFont="1" applyFill="1" applyBorder="1" applyAlignment="1">
      <alignment wrapText="1"/>
    </xf>
    <xf numFmtId="0" fontId="16" fillId="40" borderId="28" xfId="0" applyFont="1" applyFill="1" applyBorder="1" applyAlignment="1">
      <alignment horizontal="center" vertical="center" wrapText="1"/>
    </xf>
    <xf numFmtId="0" fontId="50" fillId="35" borderId="35" xfId="0" applyFont="1" applyFill="1" applyBorder="1" applyAlignment="1">
      <alignment wrapText="1"/>
    </xf>
    <xf numFmtId="0" fontId="50" fillId="35" borderId="41" xfId="0" applyFont="1" applyFill="1" applyBorder="1" applyAlignment="1">
      <alignment wrapText="1"/>
    </xf>
    <xf numFmtId="0" fontId="50" fillId="23" borderId="42" xfId="0" applyFont="1" applyFill="1" applyBorder="1" applyAlignment="1">
      <alignment wrapText="1"/>
    </xf>
    <xf numFmtId="0" fontId="44" fillId="24" borderId="32" xfId="0" applyFont="1" applyFill="1" applyBorder="1" applyAlignment="1">
      <alignment horizontal="left" vertical="top" wrapText="1"/>
    </xf>
    <xf numFmtId="0" fontId="44" fillId="24" borderId="27" xfId="0" applyFont="1" applyFill="1" applyBorder="1" applyAlignment="1">
      <alignment horizontal="left" vertical="top" wrapText="1"/>
    </xf>
    <xf numFmtId="0" fontId="19" fillId="30" borderId="27" xfId="0" applyFont="1" applyFill="1" applyBorder="1" applyAlignment="1">
      <alignment horizontal="left" vertical="top" wrapText="1"/>
    </xf>
    <xf numFmtId="0" fontId="51" fillId="30" borderId="27" xfId="0" applyFont="1" applyFill="1" applyBorder="1" applyAlignment="1">
      <alignment horizontal="left" vertical="top" wrapText="1"/>
    </xf>
    <xf numFmtId="0" fontId="49" fillId="17" borderId="27" xfId="0" applyFont="1" applyFill="1" applyBorder="1" applyAlignment="1">
      <alignment horizontal="left" vertical="top" wrapText="1"/>
    </xf>
    <xf numFmtId="0" fontId="49" fillId="17" borderId="29" xfId="0" applyFont="1" applyFill="1" applyBorder="1" applyAlignment="1">
      <alignment horizontal="left" vertical="top" wrapText="1"/>
    </xf>
    <xf numFmtId="0" fontId="16" fillId="12" borderId="52" xfId="0" applyFont="1" applyFill="1" applyBorder="1" applyAlignment="1">
      <alignment horizontal="center" vertical="center"/>
    </xf>
    <xf numFmtId="0" fontId="16" fillId="12" borderId="53" xfId="0" applyFont="1" applyFill="1" applyBorder="1"/>
    <xf numFmtId="0" fontId="19" fillId="22" borderId="37" xfId="0" applyFont="1" applyFill="1" applyBorder="1" applyAlignment="1">
      <alignment horizontal="center" vertical="center" wrapText="1"/>
    </xf>
    <xf numFmtId="0" fontId="19" fillId="0" borderId="54" xfId="0" applyFont="1" applyBorder="1" applyAlignment="1">
      <alignment vertical="top" wrapText="1"/>
    </xf>
    <xf numFmtId="0" fontId="19" fillId="0" borderId="55" xfId="0" applyFont="1" applyBorder="1" applyAlignment="1">
      <alignment vertical="top" wrapText="1"/>
    </xf>
    <xf numFmtId="0" fontId="19" fillId="22" borderId="56" xfId="0" applyFont="1" applyFill="1" applyBorder="1" applyAlignment="1">
      <alignment horizontal="center" vertical="center" wrapText="1"/>
    </xf>
    <xf numFmtId="0" fontId="19" fillId="0" borderId="57" xfId="0" applyFont="1" applyBorder="1" applyAlignment="1">
      <alignment vertical="top" wrapText="1"/>
    </xf>
    <xf numFmtId="0" fontId="16" fillId="12" borderId="53" xfId="0" applyFont="1" applyFill="1" applyBorder="1" applyAlignment="1">
      <alignment vertical="center"/>
    </xf>
    <xf numFmtId="0" fontId="18" fillId="3" borderId="42" xfId="0" applyFont="1" applyFill="1" applyBorder="1" applyAlignment="1">
      <alignment wrapText="1"/>
    </xf>
    <xf numFmtId="0" fontId="16" fillId="12" borderId="35" xfId="0" applyFont="1" applyFill="1" applyBorder="1"/>
    <xf numFmtId="0" fontId="18" fillId="6" borderId="41" xfId="0" applyFont="1" applyFill="1" applyBorder="1" applyAlignment="1">
      <alignment wrapText="1"/>
    </xf>
    <xf numFmtId="0" fontId="19" fillId="22" borderId="32" xfId="0" applyFont="1" applyFill="1" applyBorder="1" applyAlignment="1">
      <alignment horizontal="center" vertical="center" wrapText="1"/>
    </xf>
    <xf numFmtId="0" fontId="21" fillId="7" borderId="56" xfId="0" applyFont="1" applyFill="1" applyBorder="1" applyAlignment="1">
      <alignment horizontal="center" vertical="center" wrapText="1"/>
    </xf>
    <xf numFmtId="0" fontId="21" fillId="7" borderId="57" xfId="0" applyFont="1" applyFill="1" applyBorder="1" applyAlignment="1">
      <alignment horizontal="center" vertical="center" wrapText="1"/>
    </xf>
    <xf numFmtId="0" fontId="18" fillId="3" borderId="58" xfId="0" applyFont="1" applyFill="1" applyBorder="1" applyAlignment="1">
      <alignment wrapText="1"/>
    </xf>
    <xf numFmtId="0" fontId="18" fillId="3" borderId="59" xfId="0" applyFont="1" applyFill="1" applyBorder="1" applyAlignment="1">
      <alignment wrapText="1"/>
    </xf>
    <xf numFmtId="0" fontId="18" fillId="6" borderId="52" xfId="0" applyFont="1" applyFill="1" applyBorder="1" applyAlignment="1">
      <alignment wrapText="1"/>
    </xf>
    <xf numFmtId="0" fontId="18" fillId="6" borderId="53" xfId="0" applyFont="1" applyFill="1" applyBorder="1" applyAlignment="1">
      <alignment wrapText="1"/>
    </xf>
    <xf numFmtId="0" fontId="16" fillId="12" borderId="60" xfId="0" applyFont="1" applyFill="1" applyBorder="1" applyAlignment="1">
      <alignment horizontal="center" vertical="center"/>
    </xf>
    <xf numFmtId="0" fontId="16" fillId="12" borderId="61" xfId="0" applyFont="1" applyFill="1" applyBorder="1"/>
    <xf numFmtId="0" fontId="16" fillId="6" borderId="58" xfId="0" applyFont="1" applyFill="1" applyBorder="1" applyAlignment="1">
      <alignment horizontal="center" vertical="center" wrapText="1"/>
    </xf>
    <xf numFmtId="0" fontId="16" fillId="6" borderId="59" xfId="0" applyFont="1" applyFill="1" applyBorder="1" applyAlignment="1">
      <alignment wrapText="1"/>
    </xf>
    <xf numFmtId="0" fontId="16" fillId="6" borderId="52" xfId="0" applyFont="1" applyFill="1" applyBorder="1" applyAlignment="1">
      <alignment horizontal="center" vertical="center"/>
    </xf>
    <xf numFmtId="0" fontId="16" fillId="6" borderId="53" xfId="0" applyFont="1" applyFill="1" applyBorder="1"/>
    <xf numFmtId="0" fontId="19" fillId="0" borderId="36" xfId="0" applyFont="1" applyBorder="1" applyAlignment="1">
      <alignment vertical="top" wrapText="1"/>
    </xf>
    <xf numFmtId="0" fontId="16" fillId="0" borderId="36" xfId="0" applyFont="1" applyBorder="1" applyAlignment="1">
      <alignment vertical="top" wrapText="1"/>
    </xf>
    <xf numFmtId="0" fontId="16" fillId="0" borderId="55" xfId="0" applyFont="1" applyBorder="1" applyAlignment="1">
      <alignment vertical="top" wrapText="1"/>
    </xf>
    <xf numFmtId="0" fontId="16" fillId="12" borderId="52" xfId="0" applyFont="1" applyFill="1" applyBorder="1" applyAlignment="1">
      <alignment horizontal="left"/>
    </xf>
    <xf numFmtId="0" fontId="16" fillId="12" borderId="53" xfId="0" applyFont="1" applyFill="1" applyBorder="1" applyAlignment="1">
      <alignment horizontal="left"/>
    </xf>
    <xf numFmtId="0" fontId="16" fillId="6" borderId="58" xfId="0" applyFont="1" applyFill="1" applyBorder="1" applyAlignment="1">
      <alignment horizontal="center" vertical="center"/>
    </xf>
    <xf numFmtId="0" fontId="16" fillId="6" borderId="59" xfId="0" applyFont="1" applyFill="1" applyBorder="1"/>
    <xf numFmtId="0" fontId="19" fillId="0" borderId="36" xfId="0" applyFont="1" applyBorder="1" applyAlignment="1">
      <alignment vertical="center" wrapText="1"/>
    </xf>
    <xf numFmtId="0" fontId="16" fillId="0" borderId="57" xfId="0" applyFont="1" applyBorder="1" applyAlignment="1">
      <alignment vertical="top" wrapText="1"/>
    </xf>
    <xf numFmtId="0" fontId="16" fillId="6" borderId="52" xfId="0" applyFont="1" applyFill="1" applyBorder="1" applyAlignment="1">
      <alignment horizontal="center" vertical="center" wrapText="1"/>
    </xf>
    <xf numFmtId="0" fontId="16" fillId="6" borderId="53" xfId="0" applyFont="1" applyFill="1" applyBorder="1" applyAlignment="1">
      <alignment wrapText="1"/>
    </xf>
    <xf numFmtId="0" fontId="19" fillId="36" borderId="37" xfId="0" applyFont="1" applyFill="1" applyBorder="1" applyAlignment="1">
      <alignment horizontal="center" vertical="center" wrapText="1"/>
    </xf>
    <xf numFmtId="0" fontId="19" fillId="37" borderId="52" xfId="0" applyFont="1" applyFill="1" applyBorder="1" applyAlignment="1">
      <alignment horizontal="center" vertical="center" wrapText="1"/>
    </xf>
    <xf numFmtId="0" fontId="19" fillId="23" borderId="53" xfId="0" applyFont="1" applyFill="1" applyBorder="1" applyAlignment="1">
      <alignment wrapText="1"/>
    </xf>
    <xf numFmtId="0" fontId="19" fillId="36" borderId="62" xfId="0" applyFont="1" applyFill="1" applyBorder="1" applyAlignment="1">
      <alignment horizontal="center" vertical="center" wrapText="1"/>
    </xf>
    <xf numFmtId="0" fontId="19" fillId="37" borderId="58" xfId="0" applyFont="1" applyFill="1" applyBorder="1" applyAlignment="1">
      <alignment horizontal="center" vertical="center" wrapText="1"/>
    </xf>
    <xf numFmtId="0" fontId="19" fillId="36" borderId="52" xfId="0" applyFont="1" applyFill="1" applyBorder="1" applyAlignment="1">
      <alignment horizontal="center" vertical="center" wrapText="1"/>
    </xf>
    <xf numFmtId="0" fontId="19" fillId="35" borderId="61" xfId="0" applyFont="1" applyFill="1" applyBorder="1" applyAlignment="1">
      <alignment wrapText="1"/>
    </xf>
    <xf numFmtId="0" fontId="19" fillId="23" borderId="59" xfId="0" applyFont="1" applyFill="1" applyBorder="1" applyAlignment="1">
      <alignment wrapText="1"/>
    </xf>
    <xf numFmtId="0" fontId="19" fillId="35" borderId="53" xfId="0" applyFont="1" applyFill="1" applyBorder="1" applyAlignment="1">
      <alignment wrapText="1"/>
    </xf>
    <xf numFmtId="0" fontId="18" fillId="3" borderId="52" xfId="0" applyFont="1" applyFill="1" applyBorder="1"/>
    <xf numFmtId="0" fontId="18" fillId="3" borderId="53" xfId="0" applyFont="1" applyFill="1" applyBorder="1"/>
    <xf numFmtId="0" fontId="19" fillId="23" borderId="53" xfId="0" applyFont="1" applyFill="1" applyBorder="1"/>
    <xf numFmtId="0" fontId="19" fillId="22" borderId="63" xfId="0" applyFont="1" applyFill="1" applyBorder="1" applyAlignment="1">
      <alignment horizontal="center" vertical="center" wrapText="1"/>
    </xf>
    <xf numFmtId="0" fontId="19" fillId="22" borderId="52" xfId="0" applyFont="1" applyFill="1" applyBorder="1" applyAlignment="1">
      <alignment horizontal="center" vertical="center" wrapText="1"/>
    </xf>
    <xf numFmtId="0" fontId="19" fillId="40" borderId="53" xfId="0" applyFont="1" applyFill="1" applyBorder="1"/>
    <xf numFmtId="0" fontId="19" fillId="37" borderId="60" xfId="0" applyFont="1" applyFill="1" applyBorder="1" applyAlignment="1">
      <alignment horizontal="center" vertical="center" wrapText="1"/>
    </xf>
    <xf numFmtId="0" fontId="19" fillId="23" borderId="61" xfId="0" applyFont="1" applyFill="1" applyBorder="1"/>
    <xf numFmtId="0" fontId="16" fillId="40" borderId="64" xfId="0" applyFont="1" applyFill="1" applyBorder="1" applyAlignment="1">
      <alignment horizontal="center" vertical="center" wrapText="1"/>
    </xf>
    <xf numFmtId="0" fontId="19" fillId="36" borderId="60" xfId="0" applyFont="1" applyFill="1" applyBorder="1" applyAlignment="1">
      <alignment horizontal="center" vertical="center" wrapText="1"/>
    </xf>
    <xf numFmtId="0" fontId="19" fillId="23" borderId="52" xfId="0" applyFont="1" applyFill="1" applyBorder="1" applyAlignment="1">
      <alignment horizontal="center" vertical="center"/>
    </xf>
    <xf numFmtId="0" fontId="19" fillId="35" borderId="60" xfId="0" applyFont="1" applyFill="1" applyBorder="1" applyAlignment="1">
      <alignment horizontal="center" vertical="center"/>
    </xf>
    <xf numFmtId="0" fontId="19" fillId="35" borderId="52" xfId="0" applyFont="1" applyFill="1" applyBorder="1" applyAlignment="1">
      <alignment horizontal="center" vertical="center"/>
    </xf>
    <xf numFmtId="0" fontId="19" fillId="23" borderId="58" xfId="0" applyFont="1" applyFill="1" applyBorder="1" applyAlignment="1">
      <alignment horizontal="center" vertical="center"/>
    </xf>
    <xf numFmtId="0" fontId="19" fillId="40" borderId="52" xfId="0" applyFont="1" applyFill="1" applyBorder="1" applyAlignment="1">
      <alignment horizontal="center" vertical="center"/>
    </xf>
    <xf numFmtId="0" fontId="19" fillId="40" borderId="53" xfId="0" applyFont="1" applyFill="1" applyBorder="1" applyAlignment="1">
      <alignment wrapText="1"/>
    </xf>
    <xf numFmtId="0" fontId="19" fillId="23" borderId="60" xfId="0" applyFont="1" applyFill="1" applyBorder="1" applyAlignment="1">
      <alignment horizontal="center" vertical="center"/>
    </xf>
    <xf numFmtId="0" fontId="19" fillId="23" borderId="61" xfId="0" applyFont="1" applyFill="1" applyBorder="1" applyAlignment="1">
      <alignment wrapText="1"/>
    </xf>
    <xf numFmtId="0" fontId="19" fillId="23" borderId="66" xfId="0" applyFont="1" applyFill="1" applyBorder="1" applyAlignment="1">
      <alignment horizontal="center" vertical="center"/>
    </xf>
    <xf numFmtId="0" fontId="16" fillId="12" borderId="60" xfId="0" applyFont="1" applyFill="1" applyBorder="1"/>
    <xf numFmtId="0" fontId="16" fillId="12" borderId="52" xfId="0" applyFont="1" applyFill="1" applyBorder="1"/>
    <xf numFmtId="0" fontId="16" fillId="12" borderId="52" xfId="0" applyFont="1" applyFill="1" applyBorder="1" applyAlignment="1">
      <alignment vertical="center"/>
    </xf>
    <xf numFmtId="0" fontId="16" fillId="6" borderId="58" xfId="0" applyFont="1" applyFill="1" applyBorder="1" applyAlignment="1">
      <alignment wrapText="1"/>
    </xf>
    <xf numFmtId="0" fontId="16" fillId="6" borderId="52" xfId="0" applyFont="1" applyFill="1" applyBorder="1"/>
    <xf numFmtId="0" fontId="19" fillId="22" borderId="36" xfId="0" applyFont="1" applyFill="1" applyBorder="1" applyAlignment="1">
      <alignment vertical="top" wrapText="1"/>
    </xf>
    <xf numFmtId="0" fontId="16" fillId="6" borderId="58" xfId="0" applyFont="1" applyFill="1" applyBorder="1"/>
    <xf numFmtId="0" fontId="16" fillId="6" borderId="52" xfId="0" applyFont="1" applyFill="1" applyBorder="1" applyAlignment="1">
      <alignment wrapText="1"/>
    </xf>
    <xf numFmtId="0" fontId="19" fillId="35" borderId="37" xfId="0" applyFont="1" applyFill="1" applyBorder="1" applyAlignment="1">
      <alignment horizontal="center" vertical="center" wrapText="1"/>
    </xf>
    <xf numFmtId="0" fontId="19" fillId="23" borderId="52" xfId="0" applyFont="1" applyFill="1" applyBorder="1" applyAlignment="1">
      <alignment horizontal="center" vertical="center" wrapText="1"/>
    </xf>
    <xf numFmtId="0" fontId="19" fillId="35" borderId="62" xfId="0" applyFont="1" applyFill="1" applyBorder="1" applyAlignment="1">
      <alignment horizontal="center" vertical="center" wrapText="1"/>
    </xf>
    <xf numFmtId="0" fontId="19" fillId="23" borderId="58" xfId="0" applyFont="1" applyFill="1" applyBorder="1" applyAlignment="1">
      <alignment horizontal="center" vertical="center" wrapText="1"/>
    </xf>
    <xf numFmtId="0" fontId="19" fillId="35" borderId="52" xfId="0" applyFont="1" applyFill="1" applyBorder="1" applyAlignment="1">
      <alignment horizontal="center" vertical="center" wrapText="1"/>
    </xf>
    <xf numFmtId="0" fontId="19" fillId="40" borderId="52" xfId="0" applyFont="1" applyFill="1" applyBorder="1" applyAlignment="1">
      <alignment horizontal="center" vertical="center" wrapText="1"/>
    </xf>
    <xf numFmtId="0" fontId="19" fillId="23" borderId="60" xfId="0" applyFont="1" applyFill="1" applyBorder="1" applyAlignment="1">
      <alignment horizontal="center" vertical="center" wrapText="1"/>
    </xf>
    <xf numFmtId="0" fontId="16" fillId="40" borderId="64" xfId="0" applyFont="1" applyFill="1" applyBorder="1" applyAlignment="1">
      <alignment horizontal="center" vertical="center"/>
    </xf>
    <xf numFmtId="0" fontId="16" fillId="40" borderId="65" xfId="0" applyFont="1" applyFill="1" applyBorder="1" applyAlignment="1">
      <alignment horizontal="center" vertical="center"/>
    </xf>
    <xf numFmtId="0" fontId="19" fillId="35" borderId="60" xfId="0" applyFont="1" applyFill="1" applyBorder="1" applyAlignment="1">
      <alignment horizontal="center" vertical="center" wrapText="1"/>
    </xf>
    <xf numFmtId="0" fontId="19" fillId="0" borderId="36" xfId="0" applyFont="1" applyBorder="1" applyAlignment="1">
      <alignment horizontal="left" vertical="top" wrapText="1"/>
    </xf>
    <xf numFmtId="0" fontId="19" fillId="23" borderId="52" xfId="0" applyFont="1" applyFill="1" applyBorder="1"/>
    <xf numFmtId="0" fontId="19" fillId="35" borderId="60" xfId="0" applyFont="1" applyFill="1" applyBorder="1"/>
    <xf numFmtId="0" fontId="19" fillId="35" borderId="61" xfId="0" applyFont="1" applyFill="1" applyBorder="1"/>
    <xf numFmtId="0" fontId="19" fillId="35" borderId="52" xfId="0" applyFont="1" applyFill="1" applyBorder="1"/>
    <xf numFmtId="0" fontId="19" fillId="35" borderId="53" xfId="0" applyFont="1" applyFill="1" applyBorder="1"/>
    <xf numFmtId="0" fontId="19" fillId="23" borderId="58" xfId="0" applyFont="1" applyFill="1" applyBorder="1"/>
    <xf numFmtId="0" fontId="19" fillId="23" borderId="59" xfId="0" applyFont="1" applyFill="1" applyBorder="1"/>
    <xf numFmtId="0" fontId="19" fillId="40" borderId="52" xfId="0" applyFont="1" applyFill="1" applyBorder="1"/>
    <xf numFmtId="0" fontId="19" fillId="23" borderId="60" xfId="0" applyFont="1" applyFill="1" applyBorder="1"/>
    <xf numFmtId="0" fontId="19" fillId="23" borderId="66" xfId="0" applyFont="1" applyFill="1" applyBorder="1"/>
    <xf numFmtId="0" fontId="19" fillId="23" borderId="67" xfId="0" applyFont="1" applyFill="1" applyBorder="1"/>
    <xf numFmtId="0" fontId="21" fillId="7" borderId="68" xfId="0" applyFont="1" applyFill="1" applyBorder="1" applyAlignment="1">
      <alignment horizontal="center" vertical="center" wrapText="1"/>
    </xf>
    <xf numFmtId="0" fontId="19" fillId="0" borderId="57" xfId="0" applyFont="1" applyBorder="1" applyAlignment="1">
      <alignment horizontal="center" vertical="center" wrapText="1"/>
    </xf>
    <xf numFmtId="0" fontId="19" fillId="0" borderId="36" xfId="0" applyFont="1" applyBorder="1" applyAlignment="1">
      <alignment horizontal="center" vertical="center" wrapText="1"/>
    </xf>
    <xf numFmtId="0" fontId="50" fillId="35" borderId="52" xfId="0" applyFont="1" applyFill="1" applyBorder="1"/>
    <xf numFmtId="0" fontId="19" fillId="35" borderId="36" xfId="0" applyFont="1" applyFill="1" applyBorder="1" applyAlignment="1">
      <alignment horizontal="center" vertical="center" wrapText="1"/>
    </xf>
    <xf numFmtId="0" fontId="50" fillId="23" borderId="52" xfId="0" applyFont="1" applyFill="1" applyBorder="1"/>
    <xf numFmtId="0" fontId="19" fillId="23" borderId="53" xfId="0" applyFont="1" applyFill="1" applyBorder="1" applyAlignment="1">
      <alignment horizontal="center" vertical="center" wrapText="1"/>
    </xf>
    <xf numFmtId="0" fontId="50" fillId="35" borderId="60" xfId="0" applyFont="1" applyFill="1" applyBorder="1"/>
    <xf numFmtId="0" fontId="19" fillId="35" borderId="54" xfId="0" applyFont="1" applyFill="1" applyBorder="1" applyAlignment="1">
      <alignment horizontal="center" vertical="center" wrapText="1"/>
    </xf>
    <xf numFmtId="0" fontId="50" fillId="23" borderId="58" xfId="0" applyFont="1" applyFill="1" applyBorder="1"/>
    <xf numFmtId="0" fontId="19" fillId="23" borderId="59" xfId="0" applyFont="1" applyFill="1" applyBorder="1" applyAlignment="1">
      <alignment horizontal="center" vertical="center" wrapText="1"/>
    </xf>
    <xf numFmtId="0" fontId="19" fillId="35" borderId="53" xfId="0" applyFont="1" applyFill="1" applyBorder="1" applyAlignment="1">
      <alignment horizontal="center" vertical="center" wrapText="1"/>
    </xf>
    <xf numFmtId="0" fontId="19" fillId="0" borderId="55" xfId="0" applyFont="1" applyBorder="1" applyAlignment="1">
      <alignment horizontal="center" vertical="center" wrapText="1"/>
    </xf>
    <xf numFmtId="0" fontId="50" fillId="40" borderId="52" xfId="0" applyFont="1" applyFill="1" applyBorder="1"/>
    <xf numFmtId="0" fontId="19" fillId="40" borderId="53" xfId="0" applyFont="1" applyFill="1" applyBorder="1" applyAlignment="1">
      <alignment horizontal="center" vertical="center" wrapText="1"/>
    </xf>
    <xf numFmtId="0" fontId="50" fillId="23" borderId="60" xfId="0" applyFont="1" applyFill="1" applyBorder="1"/>
    <xf numFmtId="0" fontId="19" fillId="23" borderId="61" xfId="0" applyFont="1" applyFill="1" applyBorder="1" applyAlignment="1">
      <alignment horizontal="center" vertical="center" wrapText="1"/>
    </xf>
    <xf numFmtId="0" fontId="19" fillId="23" borderId="52" xfId="0" applyFont="1" applyFill="1" applyBorder="1" applyAlignment="1">
      <alignment wrapText="1"/>
    </xf>
    <xf numFmtId="0" fontId="19" fillId="35" borderId="60" xfId="0" applyFont="1" applyFill="1" applyBorder="1" applyAlignment="1">
      <alignment wrapText="1"/>
    </xf>
    <xf numFmtId="0" fontId="19" fillId="35" borderId="61" xfId="0" applyFont="1" applyFill="1" applyBorder="1" applyAlignment="1">
      <alignment horizontal="center" vertical="center" wrapText="1"/>
    </xf>
    <xf numFmtId="0" fontId="19" fillId="35" borderId="52" xfId="0" applyFont="1" applyFill="1" applyBorder="1" applyAlignment="1">
      <alignment wrapText="1"/>
    </xf>
    <xf numFmtId="0" fontId="19" fillId="23" borderId="58" xfId="0" applyFont="1" applyFill="1" applyBorder="1" applyAlignment="1">
      <alignment wrapText="1"/>
    </xf>
    <xf numFmtId="0" fontId="19" fillId="40" borderId="52" xfId="0" applyFont="1" applyFill="1" applyBorder="1" applyAlignment="1">
      <alignment wrapText="1"/>
    </xf>
    <xf numFmtId="0" fontId="19" fillId="23" borderId="60" xfId="0" applyFont="1" applyFill="1" applyBorder="1" applyAlignment="1">
      <alignment wrapText="1"/>
    </xf>
    <xf numFmtId="0" fontId="19" fillId="22" borderId="69" xfId="0" applyFont="1" applyFill="1" applyBorder="1" applyAlignment="1">
      <alignment vertical="top" wrapText="1"/>
    </xf>
    <xf numFmtId="0" fontId="19" fillId="0" borderId="69" xfId="0" applyFont="1" applyBorder="1" applyAlignment="1">
      <alignment vertical="top" wrapText="1"/>
    </xf>
    <xf numFmtId="0" fontId="19" fillId="0" borderId="70" xfId="0" applyFont="1" applyBorder="1" applyAlignment="1">
      <alignment vertical="top" wrapText="1"/>
    </xf>
    <xf numFmtId="0" fontId="19" fillId="23" borderId="66" xfId="0" applyFont="1" applyFill="1" applyBorder="1" applyAlignment="1">
      <alignment wrapText="1"/>
    </xf>
    <xf numFmtId="0" fontId="44" fillId="24" borderId="32" xfId="0" applyFont="1" applyFill="1" applyBorder="1" applyAlignment="1">
      <alignment horizontal="center" vertical="center" wrapText="1"/>
    </xf>
    <xf numFmtId="0" fontId="39" fillId="24" borderId="32" xfId="0" applyFont="1" applyFill="1" applyBorder="1" applyAlignment="1">
      <alignment horizontal="left" vertical="top" wrapText="1"/>
    </xf>
    <xf numFmtId="0" fontId="21" fillId="7" borderId="71" xfId="0" applyFont="1" applyFill="1" applyBorder="1" applyAlignment="1">
      <alignment horizontal="center" wrapText="1"/>
    </xf>
    <xf numFmtId="0" fontId="34" fillId="7" borderId="72" xfId="0" applyFont="1" applyFill="1" applyBorder="1" applyAlignment="1">
      <alignment horizontal="center" vertical="center" wrapText="1"/>
    </xf>
    <xf numFmtId="0" fontId="18" fillId="3" borderId="58" xfId="0" applyFont="1" applyFill="1" applyBorder="1" applyAlignment="1">
      <alignment horizontal="left" vertical="top"/>
    </xf>
    <xf numFmtId="0" fontId="18" fillId="3" borderId="59" xfId="0" applyFont="1" applyFill="1" applyBorder="1" applyAlignment="1">
      <alignment horizontal="center" vertical="center" wrapText="1"/>
    </xf>
    <xf numFmtId="0" fontId="18" fillId="6" borderId="52" xfId="0" applyFont="1" applyFill="1" applyBorder="1" applyAlignment="1">
      <alignment horizontal="left" vertical="center"/>
    </xf>
    <xf numFmtId="0" fontId="17" fillId="9" borderId="71" xfId="0" applyFont="1" applyFill="1" applyBorder="1" applyAlignment="1">
      <alignment horizontal="right" vertical="top" wrapText="1"/>
    </xf>
    <xf numFmtId="0" fontId="17" fillId="9" borderId="0" xfId="0" applyFont="1" applyFill="1" applyAlignment="1">
      <alignment vertical="top" wrapText="1"/>
    </xf>
    <xf numFmtId="0" fontId="17" fillId="9" borderId="72" xfId="0" applyFont="1" applyFill="1" applyBorder="1" applyAlignment="1">
      <alignment vertical="top" wrapText="1"/>
    </xf>
    <xf numFmtId="0" fontId="17" fillId="9" borderId="73" xfId="0" applyFont="1" applyFill="1" applyBorder="1" applyAlignment="1">
      <alignment horizontal="right" vertical="top" wrapText="1"/>
    </xf>
    <xf numFmtId="0" fontId="17" fillId="9" borderId="74" xfId="0" applyFont="1" applyFill="1" applyBorder="1" applyAlignment="1">
      <alignment vertical="top" wrapText="1"/>
    </xf>
    <xf numFmtId="0" fontId="17" fillId="9" borderId="68" xfId="0" applyFont="1" applyFill="1" applyBorder="1" applyAlignment="1">
      <alignment horizontal="right" vertical="top" wrapText="1"/>
    </xf>
    <xf numFmtId="0" fontId="19" fillId="9" borderId="73" xfId="0" applyFont="1" applyFill="1" applyBorder="1" applyAlignment="1">
      <alignment horizontal="right" vertical="top" wrapText="1"/>
    </xf>
    <xf numFmtId="0" fontId="19" fillId="9" borderId="75" xfId="0" applyFont="1" applyFill="1" applyBorder="1" applyAlignment="1">
      <alignment vertical="top" wrapText="1"/>
    </xf>
    <xf numFmtId="0" fontId="19" fillId="9" borderId="76" xfId="0" applyFont="1" applyFill="1" applyBorder="1" applyAlignment="1">
      <alignment horizontal="right" vertical="top" wrapText="1"/>
    </xf>
    <xf numFmtId="0" fontId="19" fillId="9" borderId="69" xfId="0" applyFont="1" applyFill="1" applyBorder="1" applyAlignment="1">
      <alignment vertical="top" wrapText="1"/>
    </xf>
    <xf numFmtId="0" fontId="19" fillId="9" borderId="70" xfId="0" applyFont="1" applyFill="1" applyBorder="1" applyAlignment="1">
      <alignment vertical="top" wrapText="1"/>
    </xf>
    <xf numFmtId="0" fontId="16" fillId="12" borderId="77" xfId="0" applyFont="1" applyFill="1" applyBorder="1" applyAlignment="1">
      <alignment horizontal="left"/>
    </xf>
    <xf numFmtId="0" fontId="16" fillId="12" borderId="52" xfId="0" applyFont="1" applyFill="1" applyBorder="1" applyAlignment="1">
      <alignment horizontal="left" vertical="center"/>
    </xf>
    <xf numFmtId="0" fontId="19" fillId="9" borderId="76" xfId="0" applyFont="1" applyFill="1" applyBorder="1" applyAlignment="1">
      <alignment vertical="top"/>
    </xf>
    <xf numFmtId="0" fontId="19" fillId="9" borderId="78" xfId="0" applyFont="1" applyFill="1" applyBorder="1" applyAlignment="1">
      <alignment vertical="top"/>
    </xf>
    <xf numFmtId="0" fontId="19" fillId="9" borderId="71" xfId="0" applyFont="1" applyFill="1" applyBorder="1" applyAlignment="1">
      <alignment vertical="top"/>
    </xf>
    <xf numFmtId="0" fontId="19" fillId="9" borderId="79" xfId="0" applyFont="1" applyFill="1" applyBorder="1" applyAlignment="1">
      <alignment vertical="top" wrapText="1"/>
    </xf>
    <xf numFmtId="0" fontId="19" fillId="9" borderId="73" xfId="0" applyFont="1" applyFill="1" applyBorder="1" applyAlignment="1">
      <alignment vertical="top"/>
    </xf>
    <xf numFmtId="0" fontId="16" fillId="34" borderId="77" xfId="0" applyFont="1" applyFill="1" applyBorder="1"/>
    <xf numFmtId="0" fontId="50" fillId="35" borderId="80" xfId="0" applyFont="1" applyFill="1" applyBorder="1"/>
    <xf numFmtId="0" fontId="19" fillId="9" borderId="81" xfId="0" applyFont="1" applyFill="1" applyBorder="1" applyAlignment="1">
      <alignment vertical="top"/>
    </xf>
    <xf numFmtId="0" fontId="19" fillId="9" borderId="82" xfId="0" applyFont="1" applyFill="1" applyBorder="1" applyAlignment="1">
      <alignment vertical="top" wrapText="1"/>
    </xf>
    <xf numFmtId="0" fontId="50" fillId="23" borderId="53" xfId="0" applyFont="1" applyFill="1" applyBorder="1"/>
    <xf numFmtId="0" fontId="16" fillId="34" borderId="83" xfId="0" applyFont="1" applyFill="1" applyBorder="1"/>
    <xf numFmtId="0" fontId="50" fillId="35" borderId="74" xfId="0" applyFont="1" applyFill="1" applyBorder="1"/>
    <xf numFmtId="0" fontId="17" fillId="9" borderId="36" xfId="0" applyFont="1" applyFill="1" applyBorder="1" applyAlignment="1">
      <alignment vertical="top" wrapText="1"/>
    </xf>
    <xf numFmtId="0" fontId="19" fillId="9" borderId="76" xfId="0" applyFont="1" applyFill="1" applyBorder="1" applyAlignment="1">
      <alignment vertical="top" wrapText="1"/>
    </xf>
    <xf numFmtId="0" fontId="50" fillId="23" borderId="59" xfId="0" applyFont="1" applyFill="1" applyBorder="1"/>
    <xf numFmtId="0" fontId="50" fillId="35" borderId="53" xfId="0" applyFont="1" applyFill="1" applyBorder="1"/>
    <xf numFmtId="0" fontId="19" fillId="9" borderId="78" xfId="0" applyFont="1" applyFill="1" applyBorder="1" applyAlignment="1">
      <alignment vertical="top" wrapText="1"/>
    </xf>
    <xf numFmtId="0" fontId="19" fillId="9" borderId="73" xfId="0" applyFont="1" applyFill="1" applyBorder="1" applyAlignment="1">
      <alignment vertical="top" wrapText="1"/>
    </xf>
    <xf numFmtId="0" fontId="18" fillId="3" borderId="60" xfId="0" applyFont="1" applyFill="1" applyBorder="1"/>
    <xf numFmtId="0" fontId="18" fillId="3" borderId="61" xfId="0" applyFont="1" applyFill="1" applyBorder="1"/>
    <xf numFmtId="0" fontId="16" fillId="6" borderId="52" xfId="0" applyFont="1" applyFill="1" applyBorder="1" applyAlignment="1">
      <alignment vertical="center"/>
    </xf>
    <xf numFmtId="0" fontId="50" fillId="23" borderId="53" xfId="0" applyFont="1" applyFill="1" applyBorder="1" applyAlignment="1">
      <alignment wrapText="1"/>
    </xf>
    <xf numFmtId="0" fontId="19" fillId="9" borderId="71" xfId="0" applyFont="1" applyFill="1" applyBorder="1" applyAlignment="1">
      <alignment vertical="top" wrapText="1"/>
    </xf>
    <xf numFmtId="0" fontId="18" fillId="3" borderId="84" xfId="0" applyFont="1" applyFill="1" applyBorder="1"/>
    <xf numFmtId="0" fontId="50" fillId="40" borderId="53" xfId="0" applyFont="1" applyFill="1" applyBorder="1" applyAlignment="1">
      <alignment wrapText="1"/>
    </xf>
    <xf numFmtId="0" fontId="50" fillId="23" borderId="61" xfId="0" applyFont="1" applyFill="1" applyBorder="1" applyAlignment="1">
      <alignment wrapText="1"/>
    </xf>
    <xf numFmtId="0" fontId="16" fillId="18" borderId="73" xfId="0" applyFont="1" applyFill="1" applyBorder="1" applyAlignment="1">
      <alignment horizontal="center" wrapText="1"/>
    </xf>
    <xf numFmtId="0" fontId="19" fillId="18" borderId="75" xfId="0" applyFont="1" applyFill="1" applyBorder="1" applyAlignment="1">
      <alignment horizontal="left" vertical="top" wrapText="1"/>
    </xf>
    <xf numFmtId="0" fontId="16" fillId="18" borderId="76" xfId="0" applyFont="1" applyFill="1" applyBorder="1" applyAlignment="1">
      <alignment horizontal="center" wrapText="1"/>
    </xf>
    <xf numFmtId="0" fontId="19" fillId="18" borderId="69" xfId="0" applyFont="1" applyFill="1" applyBorder="1" applyAlignment="1">
      <alignment horizontal="left" vertical="top" wrapText="1"/>
    </xf>
    <xf numFmtId="0" fontId="16" fillId="19" borderId="76" xfId="0" applyFont="1" applyFill="1" applyBorder="1" applyAlignment="1">
      <alignment horizontal="center" wrapText="1"/>
    </xf>
    <xf numFmtId="0" fontId="19" fillId="19" borderId="69" xfId="0" applyFont="1" applyFill="1" applyBorder="1" applyAlignment="1">
      <alignment horizontal="left" vertical="top" wrapText="1"/>
    </xf>
    <xf numFmtId="0" fontId="16" fillId="20" borderId="76" xfId="0" applyFont="1" applyFill="1" applyBorder="1" applyAlignment="1">
      <alignment horizontal="center" wrapText="1"/>
    </xf>
    <xf numFmtId="0" fontId="19" fillId="20" borderId="69" xfId="0" applyFont="1" applyFill="1" applyBorder="1" applyAlignment="1">
      <alignment horizontal="left" vertical="top" wrapText="1"/>
    </xf>
    <xf numFmtId="0" fontId="16" fillId="20" borderId="78" xfId="0" applyFont="1" applyFill="1" applyBorder="1" applyAlignment="1">
      <alignment horizontal="center" wrapText="1"/>
    </xf>
    <xf numFmtId="0" fontId="19" fillId="20" borderId="70" xfId="0" applyFont="1" applyFill="1" applyBorder="1" applyAlignment="1">
      <alignment horizontal="left" vertical="top" wrapText="1"/>
    </xf>
    <xf numFmtId="0" fontId="19" fillId="19" borderId="73" xfId="0" applyFont="1" applyFill="1" applyBorder="1" applyAlignment="1">
      <alignment horizontal="left" vertical="top" wrapText="1"/>
    </xf>
    <xf numFmtId="0" fontId="19" fillId="19" borderId="75" xfId="0" applyFont="1" applyFill="1" applyBorder="1" applyAlignment="1">
      <alignment horizontal="left" vertical="top" wrapText="1"/>
    </xf>
    <xf numFmtId="0" fontId="19" fillId="19" borderId="76" xfId="0" applyFont="1" applyFill="1" applyBorder="1" applyAlignment="1">
      <alignment horizontal="left" vertical="top" wrapText="1"/>
    </xf>
    <xf numFmtId="0" fontId="19" fillId="19" borderId="78" xfId="0" applyFont="1" applyFill="1" applyBorder="1" applyAlignment="1">
      <alignment horizontal="left" vertical="top" wrapText="1"/>
    </xf>
    <xf numFmtId="0" fontId="19" fillId="19" borderId="70" xfId="0" applyFont="1" applyFill="1" applyBorder="1" applyAlignment="1">
      <alignment horizontal="left" vertical="top" wrapText="1"/>
    </xf>
    <xf numFmtId="0" fontId="16" fillId="21" borderId="71" xfId="0" applyFont="1" applyFill="1" applyBorder="1" applyAlignment="1">
      <alignment horizontal="center" vertical="top" wrapText="1"/>
    </xf>
    <xf numFmtId="0" fontId="19" fillId="21" borderId="79" xfId="0" applyFont="1" applyFill="1" applyBorder="1" applyAlignment="1">
      <alignment horizontal="left" vertical="top" wrapText="1"/>
    </xf>
    <xf numFmtId="0" fontId="16" fillId="18" borderId="78" xfId="0" applyFont="1" applyFill="1" applyBorder="1" applyAlignment="1">
      <alignment horizontal="center" wrapText="1"/>
    </xf>
    <xf numFmtId="0" fontId="19" fillId="18" borderId="70" xfId="0" applyFont="1" applyFill="1" applyBorder="1" applyAlignment="1">
      <alignment horizontal="left" vertical="top" wrapText="1"/>
    </xf>
    <xf numFmtId="0" fontId="19" fillId="40" borderId="64" xfId="0" applyFont="1" applyFill="1" applyBorder="1" applyAlignment="1">
      <alignment wrapText="1"/>
    </xf>
    <xf numFmtId="0" fontId="16" fillId="40" borderId="65" xfId="0" applyFont="1" applyFill="1" applyBorder="1" applyAlignment="1">
      <alignment horizontal="center" vertical="center" wrapText="1"/>
    </xf>
    <xf numFmtId="0" fontId="16" fillId="34" borderId="60" xfId="0" applyFont="1" applyFill="1" applyBorder="1"/>
    <xf numFmtId="0" fontId="19" fillId="9" borderId="56" xfId="0" applyFont="1" applyFill="1" applyBorder="1" applyAlignment="1">
      <alignment vertical="top"/>
    </xf>
    <xf numFmtId="0" fontId="16" fillId="9" borderId="69" xfId="0" applyFont="1" applyFill="1" applyBorder="1" applyAlignment="1">
      <alignment vertical="top" wrapText="1"/>
    </xf>
    <xf numFmtId="0" fontId="16" fillId="34" borderId="52" xfId="0" applyFont="1" applyFill="1" applyBorder="1"/>
    <xf numFmtId="0" fontId="19" fillId="9" borderId="62" xfId="0" applyFont="1" applyFill="1" applyBorder="1" applyAlignment="1">
      <alignment vertical="top"/>
    </xf>
    <xf numFmtId="0" fontId="19" fillId="9" borderId="63" xfId="0" applyFont="1" applyFill="1" applyBorder="1" applyAlignment="1">
      <alignment vertical="top"/>
    </xf>
    <xf numFmtId="0" fontId="16" fillId="6" borderId="58" xfId="0" applyFont="1" applyFill="1" applyBorder="1" applyAlignment="1">
      <alignment vertical="center"/>
    </xf>
    <xf numFmtId="0" fontId="19" fillId="9" borderId="57" xfId="0" applyFont="1" applyFill="1" applyBorder="1" applyAlignment="1">
      <alignment vertical="top" wrapText="1"/>
    </xf>
    <xf numFmtId="0" fontId="19" fillId="9" borderId="37" xfId="0" applyFont="1" applyFill="1" applyBorder="1" applyAlignment="1">
      <alignment vertical="top"/>
    </xf>
    <xf numFmtId="0" fontId="16" fillId="3" borderId="52" xfId="0" applyFont="1" applyFill="1" applyBorder="1" applyAlignment="1">
      <alignment vertical="center"/>
    </xf>
    <xf numFmtId="0" fontId="16" fillId="6" borderId="60" xfId="0" applyFont="1" applyFill="1" applyBorder="1" applyAlignment="1">
      <alignment vertical="center"/>
    </xf>
    <xf numFmtId="0" fontId="19" fillId="9" borderId="36" xfId="0" applyFont="1" applyFill="1" applyBorder="1" applyAlignment="1">
      <alignment vertical="top" wrapText="1"/>
    </xf>
    <xf numFmtId="0" fontId="16" fillId="3" borderId="58" xfId="0" applyFont="1" applyFill="1" applyBorder="1" applyAlignment="1">
      <alignment vertical="center"/>
    </xf>
    <xf numFmtId="0" fontId="19" fillId="24" borderId="62" xfId="0" applyFont="1" applyFill="1" applyBorder="1" applyAlignment="1">
      <alignment horizontal="right" vertical="top"/>
    </xf>
    <xf numFmtId="0" fontId="19" fillId="24" borderId="69" xfId="0" applyFont="1" applyFill="1" applyBorder="1" applyAlignment="1">
      <alignment horizontal="left" vertical="top" wrapText="1"/>
    </xf>
    <xf numFmtId="0" fontId="19" fillId="25" borderId="37" xfId="0" applyFont="1" applyFill="1" applyBorder="1" applyAlignment="1">
      <alignment horizontal="right" vertical="top"/>
    </xf>
    <xf numFmtId="0" fontId="19" fillId="25" borderId="69" xfId="0" applyFont="1" applyFill="1" applyBorder="1" applyAlignment="1">
      <alignment horizontal="left" vertical="top" wrapText="1"/>
    </xf>
    <xf numFmtId="0" fontId="19" fillId="25" borderId="70" xfId="0" applyFont="1" applyFill="1" applyBorder="1" applyAlignment="1">
      <alignment horizontal="left" vertical="top" wrapText="1"/>
    </xf>
    <xf numFmtId="0" fontId="19" fillId="17" borderId="37" xfId="0" applyFont="1" applyFill="1" applyBorder="1" applyAlignment="1">
      <alignment horizontal="right" vertical="top"/>
    </xf>
    <xf numFmtId="0" fontId="19" fillId="17" borderId="36" xfId="0" applyFont="1" applyFill="1" applyBorder="1" applyAlignment="1">
      <alignment horizontal="left" vertical="top" wrapText="1"/>
    </xf>
    <xf numFmtId="0" fontId="19" fillId="17" borderId="63" xfId="0" applyFont="1" applyFill="1" applyBorder="1" applyAlignment="1">
      <alignment horizontal="right" vertical="top"/>
    </xf>
    <xf numFmtId="0" fontId="19" fillId="18" borderId="62" xfId="0" applyFont="1" applyFill="1" applyBorder="1" applyAlignment="1">
      <alignment horizontal="right" vertical="top"/>
    </xf>
    <xf numFmtId="0" fontId="19" fillId="18" borderId="69" xfId="0" applyFont="1" applyFill="1" applyBorder="1" applyAlignment="1">
      <alignment vertical="top" wrapText="1"/>
    </xf>
    <xf numFmtId="0" fontId="19" fillId="18" borderId="37" xfId="0" applyFont="1" applyFill="1" applyBorder="1" applyAlignment="1">
      <alignment horizontal="right" vertical="top"/>
    </xf>
    <xf numFmtId="0" fontId="19" fillId="26" borderId="37" xfId="0" applyFont="1" applyFill="1" applyBorder="1" applyAlignment="1">
      <alignment horizontal="right" vertical="top"/>
    </xf>
    <xf numFmtId="0" fontId="19" fillId="26" borderId="69" xfId="0" applyFont="1" applyFill="1" applyBorder="1" applyAlignment="1">
      <alignment vertical="top" wrapText="1"/>
    </xf>
    <xf numFmtId="0" fontId="19" fillId="27" borderId="37" xfId="0" applyFont="1" applyFill="1" applyBorder="1" applyAlignment="1">
      <alignment horizontal="right" vertical="top"/>
    </xf>
    <xf numFmtId="0" fontId="19" fillId="27" borderId="69" xfId="0" applyFont="1" applyFill="1" applyBorder="1" applyAlignment="1">
      <alignment vertical="top" wrapText="1"/>
    </xf>
    <xf numFmtId="0" fontId="19" fillId="28" borderId="37" xfId="0" applyFont="1" applyFill="1" applyBorder="1" applyAlignment="1">
      <alignment horizontal="right" vertical="top"/>
    </xf>
    <xf numFmtId="0" fontId="19" fillId="28" borderId="69" xfId="0" applyFont="1" applyFill="1" applyBorder="1" applyAlignment="1">
      <alignment vertical="top" wrapText="1"/>
    </xf>
    <xf numFmtId="0" fontId="19" fillId="29" borderId="37" xfId="0" applyFont="1" applyFill="1" applyBorder="1" applyAlignment="1">
      <alignment horizontal="right" vertical="top"/>
    </xf>
    <xf numFmtId="0" fontId="19" fillId="29" borderId="69" xfId="0" applyFont="1" applyFill="1" applyBorder="1" applyAlignment="1">
      <alignment vertical="top" wrapText="1"/>
    </xf>
    <xf numFmtId="0" fontId="19" fillId="29" borderId="63" xfId="0" applyFont="1" applyFill="1" applyBorder="1" applyAlignment="1">
      <alignment horizontal="right" vertical="top"/>
    </xf>
    <xf numFmtId="0" fontId="19" fillId="24" borderId="37" xfId="0" applyFont="1" applyFill="1" applyBorder="1" applyAlignment="1">
      <alignment horizontal="right" vertical="top"/>
    </xf>
    <xf numFmtId="0" fontId="19" fillId="24" borderId="36" xfId="0" applyFont="1" applyFill="1" applyBorder="1" applyAlignment="1">
      <alignment horizontal="left" vertical="top" wrapText="1"/>
    </xf>
    <xf numFmtId="0" fontId="19" fillId="24" borderId="85" xfId="0" applyFont="1" applyFill="1" applyBorder="1" applyAlignment="1">
      <alignment horizontal="left" vertical="top" wrapText="1"/>
    </xf>
    <xf numFmtId="0" fontId="19" fillId="30" borderId="37" xfId="0" applyFont="1" applyFill="1" applyBorder="1" applyAlignment="1">
      <alignment horizontal="right" vertical="top"/>
    </xf>
    <xf numFmtId="0" fontId="19" fillId="30" borderId="86" xfId="0" applyFont="1" applyFill="1" applyBorder="1" applyAlignment="1">
      <alignment horizontal="left" vertical="top" wrapText="1"/>
    </xf>
    <xf numFmtId="0" fontId="16" fillId="6" borderId="66" xfId="0" applyFont="1" applyFill="1" applyBorder="1" applyAlignment="1">
      <alignment vertical="center"/>
    </xf>
    <xf numFmtId="0" fontId="50" fillId="23" borderId="87" xfId="0" applyFont="1" applyFill="1" applyBorder="1" applyAlignment="1">
      <alignment wrapText="1"/>
    </xf>
    <xf numFmtId="0" fontId="19" fillId="23" borderId="88" xfId="0" applyFont="1" applyFill="1" applyBorder="1" applyAlignment="1">
      <alignment horizontal="center" vertical="center" wrapText="1"/>
    </xf>
    <xf numFmtId="0" fontId="19" fillId="23" borderId="89" xfId="0" applyFont="1" applyFill="1" applyBorder="1" applyAlignment="1">
      <alignment wrapText="1"/>
    </xf>
    <xf numFmtId="0" fontId="20" fillId="0" borderId="55" xfId="0" applyFont="1" applyBorder="1" applyAlignment="1">
      <alignment horizontal="left" vertical="top"/>
    </xf>
    <xf numFmtId="0" fontId="20" fillId="0" borderId="90" xfId="0" applyFont="1" applyBorder="1" applyAlignment="1">
      <alignment horizontal="left" vertical="top" wrapText="1"/>
    </xf>
    <xf numFmtId="0" fontId="6" fillId="0" borderId="0" xfId="0" applyFont="1" applyAlignment="1">
      <alignment vertical="top" wrapText="1"/>
    </xf>
    <xf numFmtId="0" fontId="16" fillId="0" borderId="36" xfId="0" applyFont="1" applyBorder="1" applyAlignment="1">
      <alignment horizontal="left" vertical="top" wrapText="1"/>
    </xf>
    <xf numFmtId="0" fontId="9" fillId="0" borderId="0" xfId="0" applyFont="1" applyAlignment="1">
      <alignment vertical="top"/>
    </xf>
    <xf numFmtId="0" fontId="21" fillId="7" borderId="57" xfId="0" applyFont="1" applyFill="1" applyBorder="1" applyAlignment="1">
      <alignment horizontal="center" vertical="top" wrapText="1"/>
    </xf>
    <xf numFmtId="0" fontId="18" fillId="3" borderId="59" xfId="0" applyFont="1" applyFill="1" applyBorder="1" applyAlignment="1">
      <alignment vertical="top" wrapText="1"/>
    </xf>
    <xf numFmtId="0" fontId="18" fillId="6" borderId="53" xfId="0" applyFont="1" applyFill="1" applyBorder="1" applyAlignment="1">
      <alignment vertical="top" wrapText="1"/>
    </xf>
    <xf numFmtId="0" fontId="16" fillId="12" borderId="61" xfId="0" applyFont="1" applyFill="1" applyBorder="1" applyAlignment="1">
      <alignment vertical="top"/>
    </xf>
    <xf numFmtId="0" fontId="16" fillId="12" borderId="53" xfId="0" applyFont="1" applyFill="1" applyBorder="1" applyAlignment="1">
      <alignment vertical="top"/>
    </xf>
    <xf numFmtId="0" fontId="16" fillId="6" borderId="59" xfId="0" applyFont="1" applyFill="1" applyBorder="1" applyAlignment="1">
      <alignment vertical="top" wrapText="1"/>
    </xf>
    <xf numFmtId="0" fontId="16" fillId="6" borderId="53" xfId="0" applyFont="1" applyFill="1" applyBorder="1" applyAlignment="1">
      <alignment vertical="top"/>
    </xf>
    <xf numFmtId="0" fontId="16" fillId="12" borderId="53" xfId="0" applyFont="1" applyFill="1" applyBorder="1" applyAlignment="1">
      <alignment horizontal="left" vertical="top"/>
    </xf>
    <xf numFmtId="0" fontId="16" fillId="6" borderId="59" xfId="0" applyFont="1" applyFill="1" applyBorder="1" applyAlignment="1">
      <alignment vertical="top"/>
    </xf>
    <xf numFmtId="0" fontId="16" fillId="6" borderId="53" xfId="0" applyFont="1" applyFill="1" applyBorder="1" applyAlignment="1">
      <alignment vertical="top" wrapText="1"/>
    </xf>
    <xf numFmtId="0" fontId="19" fillId="35" borderId="36" xfId="0" applyFont="1" applyFill="1" applyBorder="1" applyAlignment="1">
      <alignment vertical="top" wrapText="1"/>
    </xf>
    <xf numFmtId="0" fontId="19" fillId="23" borderId="53" xfId="0" applyFont="1" applyFill="1" applyBorder="1" applyAlignment="1">
      <alignment vertical="top" wrapText="1"/>
    </xf>
    <xf numFmtId="0" fontId="19" fillId="35" borderId="54" xfId="0" applyFont="1" applyFill="1" applyBorder="1" applyAlignment="1">
      <alignment vertical="top" wrapText="1"/>
    </xf>
    <xf numFmtId="0" fontId="19" fillId="35" borderId="61" xfId="0" applyFont="1" applyFill="1" applyBorder="1" applyAlignment="1">
      <alignment vertical="top" wrapText="1"/>
    </xf>
    <xf numFmtId="0" fontId="19" fillId="23" borderId="59" xfId="0" applyFont="1" applyFill="1" applyBorder="1" applyAlignment="1">
      <alignment vertical="top" wrapText="1"/>
    </xf>
    <xf numFmtId="0" fontId="19" fillId="35" borderId="53" xfId="0" applyFont="1" applyFill="1" applyBorder="1" applyAlignment="1">
      <alignment vertical="top" wrapText="1"/>
    </xf>
    <xf numFmtId="0" fontId="18" fillId="3" borderId="53" xfId="0" applyFont="1" applyFill="1" applyBorder="1" applyAlignment="1">
      <alignment vertical="top"/>
    </xf>
    <xf numFmtId="0" fontId="19" fillId="23" borderId="53" xfId="0" applyFont="1" applyFill="1" applyBorder="1" applyAlignment="1">
      <alignment vertical="top"/>
    </xf>
    <xf numFmtId="0" fontId="19" fillId="40" borderId="53" xfId="0" applyFont="1" applyFill="1" applyBorder="1" applyAlignment="1">
      <alignment vertical="top"/>
    </xf>
    <xf numFmtId="0" fontId="19" fillId="23" borderId="61" xfId="0" applyFont="1" applyFill="1" applyBorder="1" applyAlignment="1">
      <alignment vertical="top"/>
    </xf>
    <xf numFmtId="0" fontId="19" fillId="40" borderId="65" xfId="0" applyFont="1" applyFill="1" applyBorder="1" applyAlignment="1">
      <alignment vertical="top" wrapText="1"/>
    </xf>
    <xf numFmtId="0" fontId="19" fillId="40" borderId="53" xfId="0" applyFont="1" applyFill="1" applyBorder="1" applyAlignment="1">
      <alignment vertical="top" wrapText="1"/>
    </xf>
    <xf numFmtId="0" fontId="19" fillId="23" borderId="61" xfId="0" applyFont="1" applyFill="1" applyBorder="1" applyAlignment="1">
      <alignment vertical="top" wrapText="1"/>
    </xf>
    <xf numFmtId="0" fontId="19" fillId="23" borderId="67" xfId="0" applyFont="1" applyFill="1" applyBorder="1" applyAlignment="1">
      <alignment vertical="top" wrapText="1"/>
    </xf>
    <xf numFmtId="0" fontId="9" fillId="0" borderId="0" xfId="0" applyFont="1" applyAlignment="1">
      <alignment vertical="top" wrapText="1"/>
    </xf>
    <xf numFmtId="0" fontId="9" fillId="0" borderId="32" xfId="0" applyFont="1" applyBorder="1" applyAlignment="1">
      <alignment vertical="top"/>
    </xf>
    <xf numFmtId="0" fontId="9" fillId="0" borderId="27" xfId="0" applyFont="1" applyBorder="1" applyAlignment="1">
      <alignment vertical="top"/>
    </xf>
    <xf numFmtId="0" fontId="19" fillId="0" borderId="27" xfId="0" applyFont="1" applyBorder="1" applyAlignment="1">
      <alignment vertical="top" wrapText="1"/>
    </xf>
    <xf numFmtId="0" fontId="37" fillId="0" borderId="26" xfId="0" applyFont="1" applyBorder="1" applyAlignment="1">
      <alignment vertical="top" wrapText="1"/>
    </xf>
    <xf numFmtId="0" fontId="37" fillId="0" borderId="36" xfId="0" applyFont="1" applyBorder="1" applyAlignment="1">
      <alignment vertical="top" wrapText="1"/>
    </xf>
    <xf numFmtId="0" fontId="0" fillId="0" borderId="27" xfId="0" applyBorder="1" applyAlignment="1">
      <alignment vertical="top" wrapText="1"/>
    </xf>
    <xf numFmtId="0" fontId="5" fillId="0" borderId="27" xfId="0" applyFont="1" applyBorder="1" applyAlignment="1">
      <alignment vertical="top" wrapText="1"/>
    </xf>
    <xf numFmtId="0" fontId="37" fillId="0" borderId="27" xfId="0" applyFont="1" applyBorder="1" applyAlignment="1">
      <alignment vertical="top" wrapText="1"/>
    </xf>
    <xf numFmtId="0" fontId="9" fillId="44" borderId="45" xfId="0" applyFont="1" applyFill="1" applyBorder="1" applyAlignment="1">
      <alignment horizontal="center" vertical="center"/>
    </xf>
    <xf numFmtId="0" fontId="9" fillId="41" borderId="45" xfId="0" applyFont="1" applyFill="1" applyBorder="1" applyAlignment="1">
      <alignment horizontal="center" vertical="center"/>
    </xf>
    <xf numFmtId="0" fontId="8" fillId="42" borderId="45" xfId="0" applyFont="1" applyFill="1" applyBorder="1" applyAlignment="1">
      <alignment horizontal="center" vertical="center"/>
    </xf>
    <xf numFmtId="0" fontId="8" fillId="43" borderId="45" xfId="0" applyFont="1" applyFill="1" applyBorder="1" applyAlignment="1">
      <alignment horizontal="center"/>
    </xf>
    <xf numFmtId="0" fontId="9" fillId="0" borderId="37" xfId="0" applyFont="1" applyBorder="1" applyAlignment="1">
      <alignment horizontal="center"/>
    </xf>
    <xf numFmtId="0" fontId="4" fillId="0" borderId="0" xfId="0" applyFont="1" applyAlignment="1">
      <alignment vertical="top" wrapText="1"/>
    </xf>
    <xf numFmtId="0" fontId="4" fillId="0" borderId="36" xfId="0" applyFont="1" applyBorder="1" applyAlignment="1">
      <alignment vertical="top" wrapText="1"/>
    </xf>
    <xf numFmtId="0" fontId="52" fillId="0" borderId="27" xfId="0" applyFont="1" applyBorder="1" applyAlignment="1">
      <alignment vertical="top" wrapText="1"/>
    </xf>
    <xf numFmtId="0" fontId="37" fillId="0" borderId="36" xfId="0" applyFont="1" applyBorder="1" applyAlignment="1">
      <alignment horizontal="left" vertical="top" wrapText="1"/>
    </xf>
    <xf numFmtId="0" fontId="3" fillId="0" borderId="0" xfId="0" applyFont="1" applyAlignment="1">
      <alignment vertical="top" wrapText="1"/>
    </xf>
    <xf numFmtId="0" fontId="19" fillId="9" borderId="91" xfId="0" applyFont="1" applyFill="1" applyBorder="1" applyAlignment="1">
      <alignment horizontal="right" vertical="top" wrapText="1"/>
    </xf>
    <xf numFmtId="0" fontId="19" fillId="9" borderId="92" xfId="0" applyFont="1" applyFill="1" applyBorder="1" applyAlignment="1">
      <alignment vertical="top" wrapText="1"/>
    </xf>
    <xf numFmtId="0" fontId="22" fillId="13" borderId="92" xfId="0" applyFont="1" applyFill="1" applyBorder="1" applyAlignment="1">
      <alignment horizontal="center" vertical="center"/>
    </xf>
    <xf numFmtId="0" fontId="19" fillId="9" borderId="93" xfId="0" applyFont="1" applyFill="1" applyBorder="1" applyAlignment="1">
      <alignment vertical="top" wrapText="1"/>
    </xf>
    <xf numFmtId="0" fontId="22" fillId="13" borderId="50" xfId="0" applyFont="1" applyFill="1" applyBorder="1" applyAlignment="1">
      <alignment horizontal="center" vertical="center"/>
    </xf>
    <xf numFmtId="0" fontId="16" fillId="9" borderId="82" xfId="0" applyFont="1" applyFill="1" applyBorder="1" applyAlignment="1">
      <alignment vertical="top" wrapText="1"/>
    </xf>
    <xf numFmtId="0" fontId="21" fillId="7" borderId="95" xfId="0" applyFont="1" applyFill="1" applyBorder="1" applyAlignment="1">
      <alignment horizontal="center" vertical="center" wrapText="1"/>
    </xf>
    <xf numFmtId="0" fontId="19" fillId="0" borderId="30" xfId="0" applyFont="1" applyBorder="1" applyAlignment="1">
      <alignment vertical="top" wrapText="1"/>
    </xf>
    <xf numFmtId="0" fontId="16" fillId="0" borderId="30" xfId="0" applyFont="1" applyBorder="1" applyAlignment="1">
      <alignment vertical="top" wrapText="1"/>
    </xf>
    <xf numFmtId="0" fontId="7" fillId="0" borderId="30" xfId="0" applyFont="1" applyBorder="1" applyAlignment="1">
      <alignment horizontal="left" vertical="top" wrapText="1"/>
    </xf>
    <xf numFmtId="0" fontId="3" fillId="0" borderId="30" xfId="0" applyFont="1" applyBorder="1" applyAlignment="1">
      <alignment horizontal="left" vertical="top" wrapText="1"/>
    </xf>
    <xf numFmtId="0" fontId="20" fillId="0" borderId="30" xfId="0" applyFont="1" applyBorder="1" applyAlignment="1">
      <alignment horizontal="left" vertical="top" wrapText="1"/>
    </xf>
    <xf numFmtId="0" fontId="6" fillId="0" borderId="30" xfId="0" applyFont="1" applyBorder="1" applyAlignment="1">
      <alignment horizontal="left" vertical="top" wrapText="1"/>
    </xf>
    <xf numFmtId="0" fontId="4" fillId="0" borderId="30" xfId="0" applyFont="1" applyBorder="1" applyAlignment="1">
      <alignment horizontal="left" vertical="top" wrapText="1"/>
    </xf>
    <xf numFmtId="0" fontId="19" fillId="36" borderId="30" xfId="0" applyFont="1" applyFill="1" applyBorder="1" applyAlignment="1">
      <alignment vertical="top" wrapText="1"/>
    </xf>
    <xf numFmtId="0" fontId="19" fillId="37" borderId="41" xfId="0" applyFont="1" applyFill="1" applyBorder="1" applyAlignment="1">
      <alignment vertical="top" wrapText="1"/>
    </xf>
    <xf numFmtId="0" fontId="19" fillId="36" borderId="31" xfId="0" applyFont="1" applyFill="1" applyBorder="1" applyAlignment="1">
      <alignment vertical="top" wrapText="1"/>
    </xf>
    <xf numFmtId="0" fontId="19" fillId="37" borderId="42" xfId="0" applyFont="1" applyFill="1" applyBorder="1" applyAlignment="1">
      <alignment vertical="top" wrapText="1"/>
    </xf>
    <xf numFmtId="0" fontId="19" fillId="36" borderId="41" xfId="0" applyFont="1" applyFill="1" applyBorder="1" applyAlignment="1">
      <alignment vertical="top" wrapText="1"/>
    </xf>
    <xf numFmtId="0" fontId="18" fillId="3" borderId="41" xfId="0" applyFont="1" applyFill="1" applyBorder="1"/>
    <xf numFmtId="0" fontId="20" fillId="22" borderId="30" xfId="0" applyFont="1" applyFill="1" applyBorder="1" applyAlignment="1">
      <alignment horizontal="left" vertical="top" wrapText="1"/>
    </xf>
    <xf numFmtId="0" fontId="20" fillId="0" borderId="30" xfId="0" applyFont="1" applyBorder="1" applyAlignment="1">
      <alignment horizontal="left" vertical="top"/>
    </xf>
    <xf numFmtId="0" fontId="19" fillId="22" borderId="41" xfId="0" applyFont="1" applyFill="1" applyBorder="1" applyAlignment="1">
      <alignment vertical="top" wrapText="1"/>
    </xf>
    <xf numFmtId="0" fontId="19" fillId="37" borderId="35" xfId="0" applyFont="1" applyFill="1" applyBorder="1" applyAlignment="1">
      <alignment vertical="top" wrapText="1"/>
    </xf>
    <xf numFmtId="0" fontId="20" fillId="0" borderId="96" xfId="0" applyFont="1" applyBorder="1" applyAlignment="1">
      <alignment horizontal="left" vertical="top"/>
    </xf>
    <xf numFmtId="0" fontId="20" fillId="0" borderId="97" xfId="0" applyFont="1" applyBorder="1" applyAlignment="1">
      <alignment horizontal="left" vertical="top" wrapText="1"/>
    </xf>
    <xf numFmtId="0" fontId="16" fillId="40" borderId="28" xfId="0" applyFont="1" applyFill="1" applyBorder="1" applyAlignment="1">
      <alignment horizontal="center" vertical="center"/>
    </xf>
    <xf numFmtId="0" fontId="19" fillId="36" borderId="35" xfId="0" applyFont="1" applyFill="1" applyBorder="1" applyAlignment="1">
      <alignment vertical="top" wrapText="1"/>
    </xf>
    <xf numFmtId="0" fontId="19" fillId="0" borderId="30" xfId="0" applyFont="1" applyBorder="1" applyAlignment="1">
      <alignment horizontal="left" vertical="top" wrapText="1"/>
    </xf>
    <xf numFmtId="0" fontId="19" fillId="23" borderId="41" xfId="0" applyFont="1" applyFill="1" applyBorder="1"/>
    <xf numFmtId="0" fontId="19" fillId="35" borderId="35" xfId="0" applyFont="1" applyFill="1" applyBorder="1"/>
    <xf numFmtId="0" fontId="19" fillId="35" borderId="41" xfId="0" applyFont="1" applyFill="1" applyBorder="1"/>
    <xf numFmtId="0" fontId="19" fillId="23" borderId="42" xfId="0" applyFont="1" applyFill="1" applyBorder="1"/>
    <xf numFmtId="0" fontId="19" fillId="40" borderId="41" xfId="0" applyFont="1" applyFill="1" applyBorder="1"/>
    <xf numFmtId="0" fontId="19" fillId="23" borderId="35" xfId="0" applyFont="1" applyFill="1" applyBorder="1"/>
    <xf numFmtId="0" fontId="19" fillId="0" borderId="96" xfId="0" applyFont="1" applyBorder="1" applyAlignment="1">
      <alignment horizontal="left" vertical="top" wrapText="1"/>
    </xf>
    <xf numFmtId="0" fontId="19" fillId="23" borderId="87" xfId="0" applyFont="1" applyFill="1" applyBorder="1"/>
    <xf numFmtId="0" fontId="37" fillId="0" borderId="31" xfId="0" applyFont="1" applyBorder="1" applyAlignment="1">
      <alignment horizontal="left" vertical="top" wrapText="1"/>
    </xf>
    <xf numFmtId="0" fontId="37" fillId="0" borderId="30" xfId="0" applyFont="1" applyBorder="1" applyAlignment="1">
      <alignment horizontal="left" vertical="top" wrapText="1"/>
    </xf>
    <xf numFmtId="0" fontId="6" fillId="0" borderId="36" xfId="0" applyFont="1" applyBorder="1" applyAlignment="1">
      <alignment horizontal="left" vertical="top" wrapText="1"/>
    </xf>
    <xf numFmtId="0" fontId="20" fillId="0" borderId="36" xfId="0" applyFont="1" applyBorder="1" applyAlignment="1">
      <alignment horizontal="left" vertical="top" wrapText="1"/>
    </xf>
    <xf numFmtId="0" fontId="4" fillId="0" borderId="36" xfId="0" applyFont="1" applyBorder="1" applyAlignment="1">
      <alignment horizontal="left" vertical="top" wrapText="1"/>
    </xf>
    <xf numFmtId="0" fontId="7" fillId="0" borderId="36" xfId="0" applyFont="1" applyBorder="1" applyAlignment="1">
      <alignment horizontal="left" vertical="top" wrapText="1"/>
    </xf>
    <xf numFmtId="0" fontId="20" fillId="22" borderId="36" xfId="0" applyFont="1" applyFill="1" applyBorder="1" applyAlignment="1">
      <alignment horizontal="left" vertical="top" wrapText="1"/>
    </xf>
    <xf numFmtId="0" fontId="20" fillId="0" borderId="36" xfId="0" applyFont="1" applyBorder="1" applyAlignment="1">
      <alignment horizontal="left" vertical="top"/>
    </xf>
    <xf numFmtId="0" fontId="19" fillId="22" borderId="62" xfId="0" applyFont="1" applyFill="1" applyBorder="1" applyAlignment="1">
      <alignment horizontal="center" vertical="center" wrapText="1"/>
    </xf>
    <xf numFmtId="0" fontId="37" fillId="0" borderId="54" xfId="0" applyFont="1" applyBorder="1" applyAlignment="1">
      <alignment horizontal="left" vertical="top" wrapText="1"/>
    </xf>
    <xf numFmtId="0" fontId="19" fillId="22" borderId="38" xfId="0" applyFont="1" applyFill="1" applyBorder="1" applyAlignment="1">
      <alignment horizontal="center" vertical="center" wrapText="1"/>
    </xf>
    <xf numFmtId="0" fontId="37" fillId="0" borderId="40" xfId="0" applyFont="1" applyBorder="1" applyAlignment="1">
      <alignment horizontal="left" vertical="top" wrapText="1"/>
    </xf>
    <xf numFmtId="0" fontId="15" fillId="0" borderId="0" xfId="0" applyFont="1" applyAlignment="1">
      <alignment horizontal="center" vertical="center"/>
    </xf>
    <xf numFmtId="0" fontId="2" fillId="0" borderId="0" xfId="0" applyFont="1" applyAlignment="1">
      <alignment horizontal="center" vertical="center" wrapText="1"/>
    </xf>
    <xf numFmtId="0" fontId="33" fillId="0" borderId="51" xfId="0" applyFont="1" applyBorder="1" applyAlignment="1">
      <alignment horizontal="center" vertical="center"/>
    </xf>
    <xf numFmtId="0" fontId="33" fillId="0" borderId="46" xfId="0" applyFont="1" applyBorder="1" applyAlignment="1">
      <alignment horizontal="center" vertical="center"/>
    </xf>
    <xf numFmtId="0" fontId="35" fillId="0" borderId="47" xfId="0" applyFont="1" applyBorder="1" applyAlignment="1">
      <alignment horizontal="center" vertical="center"/>
    </xf>
    <xf numFmtId="0" fontId="35" fillId="0" borderId="48" xfId="0" applyFont="1" applyBorder="1" applyAlignment="1">
      <alignment horizontal="center" vertical="center"/>
    </xf>
    <xf numFmtId="0" fontId="35" fillId="0" borderId="49" xfId="0" applyFont="1" applyBorder="1" applyAlignment="1">
      <alignment horizontal="center" vertical="center"/>
    </xf>
    <xf numFmtId="0" fontId="31" fillId="0" borderId="51" xfId="0" applyFont="1" applyBorder="1" applyAlignment="1">
      <alignment horizontal="center" vertical="center"/>
    </xf>
    <xf numFmtId="0" fontId="31" fillId="0" borderId="45" xfId="0" applyFont="1" applyBorder="1" applyAlignment="1">
      <alignment horizontal="center" vertical="center"/>
    </xf>
    <xf numFmtId="0" fontId="31" fillId="0" borderId="46" xfId="0" applyFont="1" applyBorder="1" applyAlignment="1">
      <alignment horizontal="center" vertical="center"/>
    </xf>
    <xf numFmtId="0" fontId="33" fillId="0" borderId="94" xfId="0" applyFont="1" applyBorder="1" applyAlignment="1">
      <alignment horizontal="center" vertical="center"/>
    </xf>
    <xf numFmtId="0" fontId="12" fillId="0" borderId="10" xfId="0" applyFont="1" applyBorder="1" applyAlignment="1">
      <alignment horizontal="center" vertical="center" wrapText="1"/>
    </xf>
    <xf numFmtId="0" fontId="11" fillId="0" borderId="14" xfId="0" applyFont="1" applyBorder="1"/>
    <xf numFmtId="0" fontId="11" fillId="0" borderId="15" xfId="0" applyFont="1" applyBorder="1"/>
    <xf numFmtId="0" fontId="12" fillId="0" borderId="18" xfId="0" applyFont="1" applyBorder="1" applyAlignment="1">
      <alignment horizontal="center" vertical="center" wrapText="1"/>
    </xf>
    <xf numFmtId="0" fontId="11" fillId="0" borderId="21" xfId="0" applyFont="1" applyBorder="1"/>
    <xf numFmtId="0" fontId="11" fillId="0" borderId="23" xfId="0" applyFont="1" applyBorder="1"/>
    <xf numFmtId="0" fontId="12" fillId="0" borderId="26" xfId="0" applyFont="1" applyBorder="1" applyAlignment="1">
      <alignment horizontal="center" vertical="center" wrapText="1"/>
    </xf>
    <xf numFmtId="0" fontId="11" fillId="0" borderId="26" xfId="0" applyFont="1" applyBorder="1"/>
    <xf numFmtId="0" fontId="11" fillId="0" borderId="7" xfId="0" applyFont="1" applyBorder="1"/>
  </cellXfs>
  <cellStyles count="1">
    <cellStyle name="Обычный" xfId="0" builtinId="0"/>
  </cellStyles>
  <dxfs count="732">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rgb="FF33CAFF"/>
        </patternFill>
      </fill>
    </dxf>
    <dxf>
      <font>
        <b/>
        <i val="0"/>
      </font>
      <fill>
        <patternFill>
          <bgColor theme="9" tint="-0.24994659260841701"/>
        </patternFill>
      </fill>
    </dxf>
    <dxf>
      <font>
        <b/>
        <i val="0"/>
      </font>
      <fill>
        <patternFill>
          <bgColor rgb="FFFFFF00"/>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33CAFF"/>
        </patternFill>
      </fill>
    </dxf>
    <dxf>
      <font>
        <b/>
        <i val="0"/>
      </font>
      <fill>
        <patternFill>
          <bgColor rgb="FFFFFF00"/>
        </patternFill>
      </fill>
    </dxf>
    <dxf>
      <font>
        <b/>
        <i val="0"/>
      </font>
      <fill>
        <patternFill>
          <bgColor rgb="FF92D050"/>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theme="9" tint="-0.24994659260841701"/>
        </patternFill>
      </fill>
    </dxf>
    <dxf>
      <font>
        <b/>
        <i val="0"/>
      </font>
      <fill>
        <patternFill>
          <bgColor rgb="FFFFFF00"/>
        </patternFill>
      </fill>
    </dxf>
    <dxf>
      <font>
        <b/>
        <i val="0"/>
      </font>
      <fill>
        <patternFill>
          <bgColor rgb="FF92D050"/>
        </patternFill>
      </fill>
    </dxf>
    <dxf>
      <font>
        <b/>
        <i val="0"/>
      </font>
      <fill>
        <patternFill>
          <bgColor rgb="FF33CAFF"/>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rgb="FF33CAFF"/>
        </patternFill>
      </fill>
    </dxf>
    <dxf>
      <font>
        <b/>
        <i val="0"/>
      </font>
      <fill>
        <patternFill>
          <bgColor theme="9" tint="-0.24994659260841701"/>
        </patternFill>
      </fill>
    </dxf>
    <dxf>
      <font>
        <b/>
        <i val="0"/>
      </font>
      <fill>
        <patternFill>
          <bgColor rgb="FF92D050"/>
        </patternFill>
      </fill>
    </dxf>
    <dxf>
      <font>
        <b/>
        <i val="0"/>
      </font>
      <fill>
        <patternFill>
          <bgColor rgb="FFFFFF00"/>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92D050"/>
        </patternFill>
      </fill>
    </dxf>
    <dxf>
      <font>
        <b/>
        <i val="0"/>
      </font>
      <fill>
        <patternFill>
          <bgColor rgb="FF33CAFF"/>
        </patternFill>
      </fill>
    </dxf>
    <dxf>
      <font>
        <b/>
        <i val="0"/>
      </font>
      <fill>
        <patternFill>
          <bgColor theme="9" tint="-0.24994659260841701"/>
        </patternFill>
      </fill>
    </dxf>
    <dxf>
      <font>
        <b/>
        <i val="0"/>
      </font>
      <fill>
        <patternFill>
          <bgColor rgb="FFFFFF00"/>
        </patternFill>
      </fill>
    </dxf>
    <dxf>
      <font>
        <b/>
        <i val="0"/>
      </font>
      <fill>
        <patternFill>
          <bgColor rgb="FF92D050"/>
        </patternFill>
      </fill>
    </dxf>
    <dxf>
      <font>
        <b/>
        <i val="0"/>
      </font>
      <fill>
        <patternFill>
          <bgColor theme="9" tint="-0.24994659260841701"/>
        </patternFill>
      </fill>
    </dxf>
    <dxf>
      <font>
        <b/>
        <i val="0"/>
      </font>
      <fill>
        <patternFill>
          <bgColor rgb="FF33CAFF"/>
        </patternFill>
      </fill>
    </dxf>
    <dxf>
      <font>
        <b/>
        <i val="0"/>
      </font>
      <fill>
        <patternFill>
          <bgColor rgb="FF92D050"/>
        </patternFill>
      </fill>
    </dxf>
    <dxf>
      <font>
        <b/>
        <i val="0"/>
      </font>
      <fill>
        <patternFill>
          <bgColor rgb="FFFFFF00"/>
        </patternFill>
      </fill>
    </dxf>
    <dxf>
      <font>
        <b/>
        <i val="0"/>
      </font>
      <fill>
        <patternFill>
          <bgColor theme="9" tint="-0.24994659260841701"/>
        </patternFill>
      </fill>
    </dxf>
    <dxf>
      <font>
        <b/>
        <i val="0"/>
      </font>
      <fill>
        <patternFill>
          <bgColor rgb="FF33CAFF"/>
        </patternFill>
      </fill>
    </dxf>
    <dxf>
      <font>
        <b/>
        <i val="0"/>
      </font>
      <fill>
        <patternFill>
          <bgColor theme="9" tint="-0.24994659260841701"/>
        </patternFill>
      </fill>
    </dxf>
    <dxf>
      <font>
        <b/>
        <i val="0"/>
      </font>
      <fill>
        <patternFill>
          <bgColor rgb="FF33CAFF"/>
        </patternFill>
      </fill>
    </dxf>
    <dxf>
      <font>
        <b/>
        <i val="0"/>
      </font>
      <fill>
        <patternFill>
          <bgColor rgb="FFFFFF00"/>
        </patternFill>
      </fill>
    </dxf>
    <dxf>
      <font>
        <b/>
        <i val="0"/>
      </font>
      <fill>
        <patternFill>
          <bgColor rgb="FF92D050"/>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theme="9" tint="-0.24994659260841701"/>
        </patternFill>
      </fill>
    </dxf>
    <dxf>
      <font>
        <b/>
        <i val="0"/>
      </font>
      <fill>
        <patternFill>
          <bgColor rgb="FFFFFF00"/>
        </patternFill>
      </fill>
    </dxf>
    <dxf>
      <font>
        <b/>
        <i val="0"/>
      </font>
      <fill>
        <patternFill>
          <bgColor rgb="FF92D050"/>
        </patternFill>
      </fill>
    </dxf>
    <dxf>
      <font>
        <b/>
        <i val="0"/>
      </font>
      <fill>
        <patternFill>
          <bgColor rgb="FF33CAFF"/>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rgb="FF92D050"/>
        </patternFill>
      </fill>
    </dxf>
    <dxf>
      <font>
        <b/>
        <i val="0"/>
      </font>
      <fill>
        <patternFill>
          <bgColor rgb="FFFFFF00"/>
        </patternFill>
      </fill>
    </dxf>
    <dxf>
      <font>
        <b/>
        <i val="0"/>
      </font>
      <fill>
        <patternFill>
          <bgColor rgb="FF33CAFF"/>
        </patternFill>
      </fill>
    </dxf>
    <dxf>
      <font>
        <b/>
        <i val="0"/>
      </font>
      <fill>
        <patternFill>
          <bgColor theme="9" tint="-0.24994659260841701"/>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theme="9" tint="-0.24994659260841701"/>
        </patternFill>
      </fill>
    </dxf>
    <dxf>
      <font>
        <b/>
        <i val="0"/>
      </font>
      <fill>
        <patternFill>
          <bgColor rgb="FF33CAFF"/>
        </patternFill>
      </fill>
    </dxf>
    <dxf>
      <font>
        <b/>
        <i val="0"/>
      </font>
      <fill>
        <patternFill>
          <bgColor rgb="FF92D050"/>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rgb="FFFFFF00"/>
        </patternFill>
      </fill>
    </dxf>
    <dxf>
      <font>
        <b/>
        <i val="0"/>
      </font>
      <fill>
        <patternFill>
          <bgColor theme="9" tint="-0.24994659260841701"/>
        </patternFill>
      </fill>
    </dxf>
    <dxf>
      <font>
        <b/>
        <i val="0"/>
      </font>
      <fill>
        <patternFill>
          <bgColor rgb="FF33CAFF"/>
        </patternFill>
      </fill>
    </dxf>
    <dxf>
      <font>
        <b/>
        <i val="0"/>
      </font>
      <fill>
        <patternFill>
          <bgColor rgb="FF33CAFF"/>
        </patternFill>
      </fill>
    </dxf>
    <dxf>
      <font>
        <b/>
        <i val="0"/>
      </font>
      <fill>
        <patternFill>
          <bgColor theme="9" tint="-0.24994659260841701"/>
        </patternFill>
      </fill>
    </dxf>
    <dxf>
      <font>
        <b/>
        <i val="0"/>
      </font>
      <fill>
        <patternFill>
          <bgColor rgb="FFFFFF00"/>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92D050"/>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33CAFF"/>
        </patternFill>
      </fill>
    </dxf>
    <dxf>
      <font>
        <b/>
        <i val="0"/>
      </font>
      <fill>
        <patternFill>
          <bgColor rgb="FF92D050"/>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92D050"/>
        </patternFill>
      </fill>
    </dxf>
    <dxf>
      <font>
        <b/>
        <i val="0"/>
      </font>
      <fill>
        <patternFill>
          <bgColor rgb="FF33CAFF"/>
        </patternFill>
      </fill>
    </dxf>
    <dxf>
      <font>
        <b/>
        <i val="0"/>
      </font>
      <fill>
        <patternFill>
          <bgColor theme="9" tint="-0.24994659260841701"/>
        </patternFill>
      </fill>
    </dxf>
    <dxf>
      <font>
        <b/>
        <i val="0"/>
      </font>
      <fill>
        <patternFill>
          <bgColor rgb="FFFFFF0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rgb="FFFFFF00"/>
        </patternFill>
      </fill>
    </dxf>
    <dxf>
      <font>
        <b/>
        <i val="0"/>
      </font>
      <fill>
        <patternFill>
          <bgColor rgb="FF33CAFF"/>
        </patternFill>
      </fill>
    </dxf>
    <dxf>
      <font>
        <b/>
        <i val="0"/>
      </font>
      <fill>
        <patternFill>
          <bgColor theme="9" tint="-0.24994659260841701"/>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92D050"/>
        </patternFill>
      </fill>
    </dxf>
    <dxf>
      <font>
        <b/>
        <i val="0"/>
      </font>
      <fill>
        <patternFill>
          <bgColor rgb="FF33CAFF"/>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rgb="FF92D050"/>
        </patternFill>
      </fill>
    </dxf>
    <dxf>
      <font>
        <b/>
        <i val="0"/>
      </font>
      <fill>
        <patternFill>
          <bgColor rgb="FFFFFF00"/>
        </patternFill>
      </fill>
    </dxf>
    <dxf>
      <font>
        <b/>
        <i val="0"/>
      </font>
      <fill>
        <patternFill>
          <bgColor rgb="FF33CAFF"/>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rgb="FFFFFF00"/>
        </patternFill>
      </fill>
    </dxf>
    <dxf>
      <font>
        <b/>
        <i val="0"/>
      </font>
      <fill>
        <patternFill>
          <bgColor theme="9" tint="-0.24994659260841701"/>
        </patternFill>
      </fill>
    </dxf>
    <dxf>
      <font>
        <b/>
        <i val="0"/>
      </font>
      <fill>
        <patternFill>
          <bgColor rgb="FF33CAFF"/>
        </patternFill>
      </fill>
    </dxf>
    <dxf>
      <font>
        <b/>
        <i val="0"/>
      </font>
      <fill>
        <patternFill>
          <bgColor rgb="FF92D050"/>
        </patternFill>
      </fill>
    </dxf>
    <dxf>
      <font>
        <b/>
        <i val="0"/>
      </font>
      <fill>
        <patternFill>
          <bgColor rgb="FFFFFF00"/>
        </patternFill>
      </fill>
    </dxf>
    <dxf>
      <font>
        <b/>
        <i val="0"/>
      </font>
      <fill>
        <patternFill>
          <bgColor theme="9" tint="-0.24994659260841701"/>
        </patternFill>
      </fill>
    </dxf>
    <dxf>
      <font>
        <b/>
        <i val="0"/>
      </font>
      <fill>
        <patternFill>
          <bgColor rgb="FF33CAFF"/>
        </patternFill>
      </fill>
    </dxf>
    <dxf>
      <font>
        <b/>
        <i val="0"/>
      </font>
      <fill>
        <patternFill>
          <bgColor rgb="FF92D05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rgb="FFFFFF00"/>
        </patternFill>
      </fill>
    </dxf>
    <dxf>
      <font>
        <b/>
        <i val="0"/>
      </font>
      <fill>
        <patternFill>
          <bgColor theme="9" tint="-0.24994659260841701"/>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33CAFF"/>
        </patternFill>
      </fill>
    </dxf>
    <dxf>
      <font>
        <b/>
        <i val="0"/>
      </font>
      <fill>
        <patternFill>
          <bgColor theme="9" tint="-0.24994659260841701"/>
        </patternFill>
      </fill>
    </dxf>
    <dxf>
      <font>
        <b/>
        <i val="0"/>
      </font>
      <fill>
        <patternFill>
          <bgColor rgb="FFFFFF00"/>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rgb="FFFFFF00"/>
        </patternFill>
      </fill>
    </dxf>
    <dxf>
      <font>
        <b/>
        <i val="0"/>
      </font>
      <fill>
        <patternFill>
          <bgColor theme="9" tint="-0.24994659260841701"/>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rgb="FF92D050"/>
        </patternFill>
      </fill>
    </dxf>
    <dxf>
      <font>
        <b/>
        <i val="0"/>
      </font>
      <fill>
        <patternFill>
          <bgColor rgb="FF33CAFF"/>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92D050"/>
        </patternFill>
      </fill>
    </dxf>
    <dxf>
      <font>
        <b/>
        <i val="0"/>
      </font>
      <fill>
        <patternFill>
          <bgColor rgb="FF33CAFF"/>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theme="9" tint="-0.24994659260841701"/>
        </patternFill>
      </fill>
    </dxf>
    <dxf>
      <font>
        <b/>
        <i val="0"/>
      </font>
      <fill>
        <patternFill>
          <bgColor rgb="FFFFFF00"/>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rgb="FF33CAFF"/>
        </patternFill>
      </fill>
    </dxf>
    <dxf>
      <font>
        <b/>
        <i val="0"/>
      </font>
      <fill>
        <patternFill>
          <bgColor theme="9" tint="-0.24994659260841701"/>
        </patternFill>
      </fill>
    </dxf>
    <dxf>
      <font>
        <b/>
        <i val="0"/>
      </font>
      <fill>
        <patternFill>
          <bgColor rgb="FF92D050"/>
        </patternFill>
      </fill>
    </dxf>
    <dxf>
      <font>
        <b/>
        <i val="0"/>
      </font>
      <fill>
        <patternFill>
          <bgColor rgb="FFFFFF00"/>
        </patternFill>
      </fill>
    </dxf>
    <dxf>
      <font>
        <b/>
        <i val="0"/>
      </font>
      <fill>
        <patternFill>
          <bgColor theme="9" tint="-0.24994659260841701"/>
        </patternFill>
      </fill>
    </dxf>
    <dxf>
      <font>
        <b/>
        <i val="0"/>
      </font>
      <fill>
        <patternFill>
          <bgColor rgb="FF33CAFF"/>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FFFF00"/>
        </patternFill>
      </fill>
    </dxf>
    <dxf>
      <font>
        <b/>
        <i val="0"/>
      </font>
      <fill>
        <patternFill>
          <bgColor rgb="FF92D050"/>
        </patternFill>
      </fill>
    </dxf>
    <dxf>
      <font>
        <b/>
        <i val="0"/>
      </font>
      <fill>
        <patternFill>
          <bgColor theme="9" tint="-0.24994659260841701"/>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rgb="FF92D050"/>
        </patternFill>
      </fill>
    </dxf>
    <dxf>
      <font>
        <b/>
        <i val="0"/>
      </font>
      <fill>
        <patternFill>
          <bgColor rgb="FF33CAFF"/>
        </patternFill>
      </fill>
    </dxf>
    <dxf>
      <font>
        <b/>
        <i val="0"/>
      </font>
      <fill>
        <patternFill>
          <bgColor theme="9" tint="-0.24994659260841701"/>
        </patternFill>
      </fill>
    </dxf>
    <dxf>
      <font>
        <b/>
        <i val="0"/>
      </font>
      <fill>
        <patternFill>
          <bgColor rgb="FFFFFF00"/>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FFFF00"/>
        </patternFill>
      </fill>
    </dxf>
    <dxf>
      <font>
        <b/>
        <i val="0"/>
      </font>
      <fill>
        <patternFill>
          <bgColor rgb="FF92D050"/>
        </patternFill>
      </fill>
    </dxf>
    <dxf>
      <font>
        <b/>
        <i val="0"/>
      </font>
      <fill>
        <patternFill>
          <bgColor rgb="FF33CAFF"/>
        </patternFill>
      </fill>
    </dxf>
    <dxf>
      <font>
        <b/>
        <i val="0"/>
      </font>
      <fill>
        <patternFill>
          <bgColor theme="9" tint="-0.24994659260841701"/>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rgb="FF33CAFF"/>
        </patternFill>
      </fill>
    </dxf>
    <dxf>
      <font>
        <b/>
        <i val="0"/>
      </font>
      <fill>
        <patternFill>
          <bgColor theme="9" tint="-0.24994659260841701"/>
        </patternFill>
      </fill>
    </dxf>
    <dxf>
      <font>
        <b/>
        <i val="0"/>
      </font>
      <fill>
        <patternFill>
          <bgColor rgb="FFFFFF00"/>
        </patternFill>
      </fill>
    </dxf>
    <dxf>
      <font>
        <b/>
        <i val="0"/>
      </font>
      <fill>
        <patternFill>
          <bgColor rgb="FF92D050"/>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FFFF00"/>
        </patternFill>
      </fill>
    </dxf>
    <dxf>
      <font>
        <b/>
        <i val="0"/>
      </font>
      <fill>
        <patternFill>
          <bgColor theme="9" tint="-0.24994659260841701"/>
        </patternFill>
      </fill>
    </dxf>
    <dxf>
      <font>
        <b/>
        <i val="0"/>
      </font>
      <fill>
        <patternFill>
          <bgColor rgb="FF33CAFF"/>
        </patternFill>
      </fill>
    </dxf>
    <dxf>
      <font>
        <b/>
        <i val="0"/>
      </font>
      <fill>
        <patternFill>
          <bgColor rgb="FF92D050"/>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rgb="FF92D050"/>
        </patternFill>
      </fill>
    </dxf>
    <dxf>
      <font>
        <b/>
        <i val="0"/>
      </font>
      <fill>
        <patternFill>
          <bgColor rgb="FF33CAFF"/>
        </patternFill>
      </fill>
    </dxf>
    <dxf>
      <font>
        <b/>
        <i val="0"/>
      </font>
      <fill>
        <patternFill>
          <bgColor theme="9" tint="-0.24994659260841701"/>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rgb="FF92D050"/>
        </patternFill>
      </fill>
    </dxf>
    <dxf>
      <font>
        <b/>
        <i val="0"/>
      </font>
      <fill>
        <patternFill>
          <bgColor rgb="FF33CAFF"/>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92D050"/>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33CAFF"/>
        </patternFill>
      </fill>
    </dxf>
    <dxf>
      <font>
        <b/>
        <i val="0"/>
      </font>
      <fill>
        <patternFill>
          <bgColor rgb="FF92D050"/>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92D05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rgb="FFFFFF00"/>
        </patternFill>
      </fill>
    </dxf>
    <dxf>
      <font>
        <b/>
        <i val="0"/>
      </font>
      <fill>
        <patternFill>
          <bgColor theme="9" tint="-0.24994659260841701"/>
        </patternFill>
      </fill>
    </dxf>
    <dxf>
      <font>
        <b/>
        <i val="0"/>
      </font>
      <fill>
        <patternFill>
          <bgColor rgb="FF33CAFF"/>
        </patternFill>
      </fill>
    </dxf>
    <dxf>
      <font>
        <b/>
        <i val="0"/>
      </font>
      <fill>
        <patternFill>
          <bgColor rgb="FF92D050"/>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theme="9" tint="-0.24994659260841701"/>
        </patternFill>
      </fill>
    </dxf>
    <dxf>
      <font>
        <b/>
        <i val="0"/>
      </font>
      <fill>
        <patternFill>
          <bgColor rgb="FF33CAFF"/>
        </patternFill>
      </fill>
    </dxf>
    <dxf>
      <font>
        <b/>
        <i val="0"/>
      </font>
      <fill>
        <patternFill>
          <bgColor rgb="FFFFFF00"/>
        </patternFill>
      </fill>
    </dxf>
    <dxf>
      <font>
        <b/>
        <i val="0"/>
      </font>
      <fill>
        <patternFill>
          <bgColor rgb="FF92D050"/>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rgb="FF92D050"/>
        </patternFill>
      </fill>
    </dxf>
    <dxf>
      <font>
        <b/>
        <i val="0"/>
      </font>
      <fill>
        <patternFill>
          <bgColor rgb="FF33CAFF"/>
        </patternFill>
      </fill>
    </dxf>
    <dxf>
      <font>
        <b/>
        <i val="0"/>
      </font>
      <fill>
        <patternFill>
          <bgColor theme="9" tint="-0.24994659260841701"/>
        </patternFill>
      </fill>
    </dxf>
    <dxf>
      <font>
        <b/>
        <i val="0"/>
      </font>
      <fill>
        <patternFill>
          <bgColor rgb="FFFFFF00"/>
        </patternFill>
      </fill>
    </dxf>
    <dxf>
      <font>
        <b/>
        <i val="0"/>
      </font>
      <fill>
        <patternFill>
          <bgColor rgb="FF92D050"/>
        </patternFill>
      </fill>
    </dxf>
    <dxf>
      <font>
        <b/>
        <i val="0"/>
      </font>
      <fill>
        <patternFill>
          <bgColor rgb="FFFFFF00"/>
        </patternFill>
      </fill>
    </dxf>
    <dxf>
      <font>
        <b/>
        <i val="0"/>
      </font>
      <fill>
        <patternFill>
          <bgColor theme="9" tint="-0.24994659260841701"/>
        </patternFill>
      </fill>
    </dxf>
    <dxf>
      <font>
        <b/>
        <i val="0"/>
      </font>
      <fill>
        <patternFill>
          <bgColor rgb="FF33CAFF"/>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92D050"/>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rgb="FF33CAFF"/>
        </patternFill>
      </fill>
    </dxf>
    <dxf>
      <font>
        <b/>
        <i val="0"/>
      </font>
      <fill>
        <patternFill>
          <bgColor theme="9" tint="-0.24994659260841701"/>
        </patternFill>
      </fill>
    </dxf>
    <dxf>
      <font>
        <b/>
        <i val="0"/>
      </font>
      <fill>
        <patternFill>
          <bgColor rgb="FFFFFF00"/>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rgb="FF33CAFF"/>
        </patternFill>
      </fill>
    </dxf>
    <dxf>
      <font>
        <b/>
        <i val="0"/>
      </font>
      <fill>
        <patternFill>
          <bgColor rgb="FF92D050"/>
        </patternFill>
      </fill>
    </dxf>
    <dxf>
      <font>
        <b/>
        <i val="0"/>
      </font>
      <fill>
        <patternFill>
          <bgColor rgb="FFFFFF00"/>
        </patternFill>
      </fill>
    </dxf>
    <dxf>
      <font>
        <b/>
        <i val="0"/>
      </font>
      <fill>
        <patternFill>
          <bgColor theme="9" tint="-0.24994659260841701"/>
        </patternFill>
      </fill>
    </dxf>
    <dxf>
      <font>
        <b/>
        <i val="0"/>
      </font>
      <fill>
        <patternFill>
          <bgColor theme="9" tint="-0.24994659260841701"/>
        </patternFill>
      </fill>
    </dxf>
    <dxf>
      <font>
        <b/>
        <i val="0"/>
      </font>
      <fill>
        <patternFill>
          <bgColor rgb="FF92D050"/>
        </patternFill>
      </fill>
    </dxf>
    <dxf>
      <font>
        <b/>
        <i val="0"/>
      </font>
      <fill>
        <patternFill>
          <bgColor rgb="FFFFFF0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33CAFF"/>
        </patternFill>
      </fill>
    </dxf>
    <dxf>
      <font>
        <b/>
        <i val="0"/>
      </font>
      <fill>
        <patternFill>
          <bgColor rgb="FF92D050"/>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FFFF00"/>
        </patternFill>
      </fill>
    </dxf>
    <dxf>
      <font>
        <b/>
        <i val="0"/>
      </font>
      <fill>
        <patternFill>
          <bgColor rgb="FF92D050"/>
        </patternFill>
      </fill>
    </dxf>
    <dxf>
      <font>
        <b/>
        <i val="0"/>
      </font>
      <fill>
        <patternFill>
          <bgColor theme="9" tint="-0.24994659260841701"/>
        </patternFill>
      </fill>
    </dxf>
    <dxf>
      <font>
        <b/>
        <i val="0"/>
      </font>
      <fill>
        <patternFill>
          <bgColor rgb="FF33CAFF"/>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92D050"/>
        </patternFill>
      </fill>
    </dxf>
    <dxf>
      <font>
        <b/>
        <i val="0"/>
      </font>
      <fill>
        <patternFill>
          <bgColor rgb="FF92D050"/>
        </patternFill>
      </fill>
    </dxf>
    <dxf>
      <font>
        <b/>
        <i val="0"/>
      </font>
      <fill>
        <patternFill>
          <bgColor rgb="FF33CAFF"/>
        </patternFill>
      </fill>
    </dxf>
    <dxf>
      <font>
        <b/>
        <i val="0"/>
      </font>
      <fill>
        <patternFill>
          <bgColor theme="9" tint="-0.24994659260841701"/>
        </patternFill>
      </fill>
    </dxf>
    <dxf>
      <font>
        <b/>
        <i val="0"/>
      </font>
      <fill>
        <patternFill>
          <bgColor rgb="FFFFFF0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theme="9" tint="-0.24994659260841701"/>
        </patternFill>
      </fill>
    </dxf>
    <dxf>
      <font>
        <b/>
        <i val="0"/>
      </font>
      <fill>
        <patternFill>
          <bgColor rgb="FFFFFF00"/>
        </patternFill>
      </fill>
    </dxf>
    <dxf>
      <font>
        <b/>
        <i val="0"/>
      </font>
      <fill>
        <patternFill>
          <bgColor rgb="FF92D050"/>
        </patternFill>
      </fill>
    </dxf>
    <dxf>
      <font>
        <b/>
        <i val="0"/>
      </font>
      <fill>
        <patternFill>
          <bgColor rgb="FF33CAFF"/>
        </patternFill>
      </fill>
    </dxf>
    <dxf>
      <font>
        <b/>
        <i val="0"/>
      </font>
      <fill>
        <patternFill>
          <bgColor rgb="FF92D050"/>
        </patternFill>
      </fill>
    </dxf>
    <dxf>
      <font>
        <b/>
        <i val="0"/>
      </font>
      <fill>
        <patternFill>
          <bgColor rgb="FF33CAFF"/>
        </patternFill>
      </fill>
    </dxf>
    <dxf>
      <font>
        <b/>
        <i val="0"/>
      </font>
      <fill>
        <patternFill>
          <bgColor rgb="FFFFFF00"/>
        </patternFill>
      </fill>
    </dxf>
    <dxf>
      <font>
        <b/>
        <i val="0"/>
      </font>
      <fill>
        <patternFill>
          <bgColor theme="9" tint="-0.24994659260841701"/>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rgb="FFFFFF00"/>
        </patternFill>
      </fill>
    </dxf>
    <dxf>
      <font>
        <b/>
        <i val="0"/>
      </font>
      <fill>
        <patternFill>
          <bgColor rgb="FF33CAFF"/>
        </patternFill>
      </fill>
    </dxf>
    <dxf>
      <font>
        <b/>
        <i val="0"/>
      </font>
      <fill>
        <patternFill>
          <bgColor rgb="FF92D050"/>
        </patternFill>
      </fill>
    </dxf>
    <dxf>
      <font>
        <b/>
        <i val="0"/>
      </font>
      <fill>
        <patternFill>
          <bgColor theme="9" tint="-0.24994659260841701"/>
        </patternFill>
      </fill>
    </dxf>
    <dxf>
      <font>
        <b/>
        <i val="0"/>
      </font>
      <fill>
        <patternFill>
          <bgColor rgb="FF92D050"/>
        </patternFill>
      </fill>
    </dxf>
    <dxf>
      <font>
        <b/>
        <i val="0"/>
      </font>
      <fill>
        <patternFill>
          <bgColor theme="9" tint="-0.24994659260841701"/>
        </patternFill>
      </fill>
    </dxf>
    <dxf>
      <font>
        <b/>
        <i val="0"/>
      </font>
      <fill>
        <patternFill>
          <bgColor rgb="FFFFFF00"/>
        </patternFill>
      </fill>
    </dxf>
    <dxf>
      <font>
        <b/>
        <i val="0"/>
      </font>
      <fill>
        <patternFill>
          <bgColor rgb="FF33CAFF"/>
        </patternFill>
      </fill>
    </dxf>
  </dxfs>
  <tableStyles count="0" defaultTableStyle="TableStyleMedium2" defaultPivotStyle="PivotStyleLight16"/>
  <colors>
    <mruColors>
      <color rgb="FF33CAFF"/>
      <color rgb="FFFF5B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25"/>
  <sheetViews>
    <sheetView workbookViewId="0"/>
  </sheetViews>
  <sheetFormatPr defaultColWidth="14.42578125" defaultRowHeight="15" customHeight="1"/>
  <cols>
    <col min="2" max="2" width="110.42578125" customWidth="1"/>
    <col min="3" max="3" width="102.140625" customWidth="1"/>
    <col min="4" max="4" width="109.42578125" customWidth="1"/>
    <col min="5" max="5" width="77.140625" customWidth="1"/>
    <col min="6" max="6" width="12.28515625" customWidth="1"/>
    <col min="7" max="7" width="14" customWidth="1"/>
  </cols>
  <sheetData>
    <row r="1" spans="1:7">
      <c r="A1" s="1" t="s">
        <v>362</v>
      </c>
      <c r="B1" s="2" t="s">
        <v>363</v>
      </c>
      <c r="C1" s="3" t="s">
        <v>364</v>
      </c>
      <c r="D1" s="4" t="s">
        <v>365</v>
      </c>
      <c r="E1" s="5"/>
      <c r="F1" s="5"/>
      <c r="G1" s="5"/>
    </row>
    <row r="2" spans="1:7">
      <c r="A2" s="532" t="s">
        <v>90</v>
      </c>
      <c r="B2" s="6" t="s">
        <v>366</v>
      </c>
      <c r="C2" s="7" t="s">
        <v>367</v>
      </c>
      <c r="D2" s="8" t="s">
        <v>368</v>
      </c>
      <c r="E2" s="5"/>
      <c r="F2" s="5"/>
      <c r="G2" s="5"/>
    </row>
    <row r="3" spans="1:7">
      <c r="A3" s="533"/>
      <c r="B3" s="9" t="s">
        <v>369</v>
      </c>
      <c r="C3" s="10" t="s">
        <v>370</v>
      </c>
      <c r="D3" s="11" t="s">
        <v>371</v>
      </c>
      <c r="E3" s="12" t="s">
        <v>372</v>
      </c>
      <c r="F3" s="5"/>
      <c r="G3" s="5"/>
    </row>
    <row r="4" spans="1:7">
      <c r="A4" s="533"/>
      <c r="B4" s="9" t="s">
        <v>373</v>
      </c>
      <c r="C4" s="10" t="s">
        <v>374</v>
      </c>
      <c r="D4" s="11" t="s">
        <v>375</v>
      </c>
      <c r="E4" s="5"/>
      <c r="F4" s="5"/>
      <c r="G4" s="5"/>
    </row>
    <row r="5" spans="1:7">
      <c r="A5" s="533"/>
      <c r="B5" s="9" t="s">
        <v>376</v>
      </c>
      <c r="C5" s="10" t="s">
        <v>377</v>
      </c>
      <c r="D5" s="12" t="s">
        <v>378</v>
      </c>
      <c r="E5" s="5"/>
      <c r="F5" s="5"/>
      <c r="G5" s="5"/>
    </row>
    <row r="6" spans="1:7">
      <c r="A6" s="533"/>
      <c r="B6" s="13" t="s">
        <v>379</v>
      </c>
      <c r="C6" s="10"/>
      <c r="D6" s="12" t="s">
        <v>380</v>
      </c>
      <c r="E6" s="11" t="s">
        <v>381</v>
      </c>
      <c r="F6" s="5"/>
      <c r="G6" s="5"/>
    </row>
    <row r="7" spans="1:7">
      <c r="A7" s="533"/>
      <c r="B7" s="9" t="s">
        <v>382</v>
      </c>
      <c r="C7" s="10" t="s">
        <v>383</v>
      </c>
      <c r="D7" s="12" t="s">
        <v>384</v>
      </c>
      <c r="E7" s="5"/>
      <c r="F7" s="5"/>
      <c r="G7" s="5"/>
    </row>
    <row r="8" spans="1:7">
      <c r="A8" s="534"/>
      <c r="B8" s="14" t="s">
        <v>385</v>
      </c>
      <c r="C8" s="15"/>
      <c r="D8" s="16"/>
      <c r="E8" s="5"/>
      <c r="F8" s="5"/>
      <c r="G8" s="5"/>
    </row>
    <row r="9" spans="1:7">
      <c r="A9" s="535" t="s">
        <v>386</v>
      </c>
      <c r="B9" s="17" t="s">
        <v>387</v>
      </c>
      <c r="C9" s="18" t="s">
        <v>388</v>
      </c>
      <c r="D9" s="19" t="s">
        <v>389</v>
      </c>
      <c r="E9" s="1"/>
      <c r="F9" s="1"/>
      <c r="G9" s="1"/>
    </row>
    <row r="10" spans="1:7">
      <c r="A10" s="536"/>
      <c r="B10" s="20" t="s">
        <v>390</v>
      </c>
      <c r="C10" s="21"/>
      <c r="D10" s="22" t="s">
        <v>391</v>
      </c>
      <c r="E10" s="1"/>
      <c r="F10" s="1"/>
      <c r="G10" s="1"/>
    </row>
    <row r="11" spans="1:7">
      <c r="A11" s="536"/>
      <c r="B11" s="23" t="s">
        <v>392</v>
      </c>
      <c r="C11" s="23" t="s">
        <v>393</v>
      </c>
      <c r="D11" s="24" t="s">
        <v>394</v>
      </c>
      <c r="E11" s="1"/>
      <c r="F11" s="1"/>
      <c r="G11" s="1"/>
    </row>
    <row r="12" spans="1:7">
      <c r="A12" s="536"/>
      <c r="B12" s="21" t="s">
        <v>395</v>
      </c>
      <c r="C12" s="21" t="s">
        <v>396</v>
      </c>
      <c r="D12" s="22" t="s">
        <v>397</v>
      </c>
      <c r="E12" s="1"/>
      <c r="F12" s="1"/>
      <c r="G12" s="1"/>
    </row>
    <row r="13" spans="1:7">
      <c r="A13" s="536"/>
      <c r="B13" s="21" t="s">
        <v>398</v>
      </c>
      <c r="C13" s="21"/>
      <c r="D13" s="22" t="s">
        <v>399</v>
      </c>
      <c r="E13" s="1"/>
      <c r="F13" s="1"/>
      <c r="G13" s="1"/>
    </row>
    <row r="14" spans="1:7">
      <c r="A14" s="537"/>
      <c r="B14" s="25" t="s">
        <v>400</v>
      </c>
      <c r="C14" s="25" t="s">
        <v>401</v>
      </c>
      <c r="D14" s="26"/>
      <c r="E14" s="1"/>
      <c r="F14" s="1"/>
      <c r="G14" s="1"/>
    </row>
    <row r="15" spans="1:7">
      <c r="A15" s="538" t="s">
        <v>89</v>
      </c>
      <c r="B15" s="27" t="s">
        <v>402</v>
      </c>
      <c r="C15" s="27" t="s">
        <v>403</v>
      </c>
      <c r="D15" s="28" t="s">
        <v>404</v>
      </c>
      <c r="E15" s="1"/>
      <c r="F15" s="1"/>
      <c r="G15" s="1"/>
    </row>
    <row r="16" spans="1:7">
      <c r="A16" s="539"/>
      <c r="B16" s="29" t="s">
        <v>405</v>
      </c>
      <c r="C16" s="23" t="s">
        <v>406</v>
      </c>
      <c r="D16" s="23" t="s">
        <v>407</v>
      </c>
      <c r="E16" s="1"/>
      <c r="F16" s="1"/>
      <c r="G16" s="1"/>
    </row>
    <row r="17" spans="1:7">
      <c r="A17" s="539"/>
      <c r="B17" s="21"/>
      <c r="C17" s="21"/>
      <c r="D17" s="30" t="s">
        <v>408</v>
      </c>
      <c r="E17" s="1"/>
      <c r="F17" s="1"/>
      <c r="G17" s="1"/>
    </row>
    <row r="18" spans="1:7">
      <c r="A18" s="540"/>
      <c r="B18" s="21"/>
      <c r="C18" s="21"/>
      <c r="D18" s="30" t="s">
        <v>409</v>
      </c>
      <c r="E18" s="1"/>
      <c r="F18" s="1"/>
      <c r="G18" s="1"/>
    </row>
    <row r="19" spans="1:7">
      <c r="A19" s="31"/>
      <c r="B19" s="1"/>
      <c r="C19" s="1"/>
      <c r="D19" s="1"/>
      <c r="E19" s="1"/>
      <c r="F19" s="1"/>
      <c r="G19" s="1"/>
    </row>
    <row r="20" spans="1:7">
      <c r="A20" s="31"/>
      <c r="B20" s="1"/>
      <c r="C20" s="1"/>
      <c r="D20" s="1"/>
      <c r="E20" s="1"/>
      <c r="F20" s="1"/>
      <c r="G20" s="1"/>
    </row>
    <row r="21" spans="1:7">
      <c r="A21" s="31"/>
      <c r="B21" s="1"/>
      <c r="C21" s="1"/>
      <c r="D21" s="1"/>
      <c r="E21" s="1"/>
      <c r="F21" s="1"/>
      <c r="G21" s="1"/>
    </row>
    <row r="22" spans="1:7">
      <c r="A22" s="31"/>
    </row>
    <row r="23" spans="1:7">
      <c r="A23" s="31"/>
    </row>
    <row r="24" spans="1:7">
      <c r="A24" s="31"/>
    </row>
    <row r="25" spans="1:7">
      <c r="A25" s="31"/>
    </row>
  </sheetData>
  <mergeCells count="3">
    <mergeCell ref="A2:A8"/>
    <mergeCell ref="A9:A14"/>
    <mergeCell ref="A15:A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BX1048560"/>
  <sheetViews>
    <sheetView tabSelected="1" zoomScale="85" zoomScaleNormal="85" workbookViewId="0">
      <pane ySplit="11" topLeftCell="A12" activePane="bottomLeft" state="frozen"/>
      <selection pane="bottomLeft" activeCell="N349" sqref="N349"/>
    </sheetView>
  </sheetViews>
  <sheetFormatPr defaultColWidth="14.42578125" defaultRowHeight="15" customHeight="1" outlineLevelRow="1"/>
  <cols>
    <col min="1" max="1" width="4" style="38" customWidth="1"/>
    <col min="2" max="2" width="23.7109375" style="38" customWidth="1"/>
    <col min="3" max="3" width="24.5703125" style="38" customWidth="1"/>
    <col min="4" max="4" width="29" style="38" customWidth="1"/>
    <col min="5" max="5" width="36.5703125" style="38" customWidth="1"/>
    <col min="6" max="6" width="20.42578125" style="35" customWidth="1"/>
    <col min="7" max="7" width="50" style="38" customWidth="1"/>
    <col min="8" max="8" width="19" style="74" hidden="1" customWidth="1"/>
    <col min="9" max="9" width="43.140625" style="53" hidden="1" customWidth="1"/>
    <col min="10" max="10" width="19.7109375" style="53" hidden="1" customWidth="1"/>
    <col min="11" max="11" width="52.7109375" style="54" hidden="1" customWidth="1"/>
    <col min="12" max="12" width="19.28515625" style="89" customWidth="1"/>
    <col min="13" max="13" width="50.7109375" style="455" customWidth="1"/>
    <col min="14" max="16384" width="14.42578125" style="38"/>
  </cols>
  <sheetData>
    <row r="1" spans="1:27" ht="23.25" customHeight="1" thickBot="1">
      <c r="B1" s="525" t="s">
        <v>1179</v>
      </c>
      <c r="C1" s="526"/>
      <c r="D1" s="526"/>
      <c r="E1" s="526"/>
      <c r="F1" s="526"/>
      <c r="G1" s="527"/>
      <c r="H1" s="38"/>
      <c r="I1" s="78"/>
      <c r="J1" s="78"/>
      <c r="K1" s="38"/>
      <c r="L1" s="35"/>
      <c r="M1" s="428"/>
    </row>
    <row r="2" spans="1:27" ht="15" customHeight="1">
      <c r="B2" s="148"/>
      <c r="C2" s="462" t="s">
        <v>1178</v>
      </c>
      <c r="D2" s="463" t="s">
        <v>1182</v>
      </c>
      <c r="E2" s="464" t="s">
        <v>1181</v>
      </c>
      <c r="F2" s="465" t="s">
        <v>1183</v>
      </c>
      <c r="G2" s="149" t="s">
        <v>1180</v>
      </c>
      <c r="H2" s="73"/>
      <c r="I2" s="78"/>
      <c r="J2" s="78"/>
      <c r="K2" s="38"/>
      <c r="L2" s="35"/>
      <c r="M2" s="428"/>
    </row>
    <row r="3" spans="1:27" ht="15" customHeight="1">
      <c r="B3" s="466" t="s">
        <v>1175</v>
      </c>
      <c r="C3" s="89">
        <f>COUNTIFS($F$15:$F$343,$B$3,$L$15:$L$343,C2)</f>
        <v>53</v>
      </c>
      <c r="D3" s="89">
        <f>COUNTIFS($F$15:$F$343,$B$3,$L$15:$L$343,D2)</f>
        <v>30</v>
      </c>
      <c r="E3" s="89">
        <f>COUNTIFS($F$15:$F$343,$B$3,$L$15:$L$343,E2)</f>
        <v>0</v>
      </c>
      <c r="F3" s="89">
        <f>COUNTIFS($F$15:$F$343,$B$3,$L$15:$L$343,F2)</f>
        <v>10</v>
      </c>
      <c r="G3" s="90">
        <f>SUM(C3:F3)</f>
        <v>93</v>
      </c>
      <c r="H3" s="73"/>
      <c r="I3" s="78"/>
      <c r="J3" s="78"/>
      <c r="K3" s="38"/>
      <c r="L3" s="35"/>
      <c r="M3" s="428"/>
    </row>
    <row r="4" spans="1:27" ht="15" customHeight="1">
      <c r="B4" s="466" t="s">
        <v>56</v>
      </c>
      <c r="C4" s="89">
        <f>COUNTIFS($F$15:$F$343,$B$4,$L$15:$L$343,C2)</f>
        <v>34</v>
      </c>
      <c r="D4" s="89">
        <f>COUNTIFS($F$15:$F$343,$B$4,$L$15:$L$343,D2)</f>
        <v>10</v>
      </c>
      <c r="E4" s="89">
        <f>COUNTIFS($F$15:$F$343,$B$4,$L$15:$L$343,E2)</f>
        <v>0</v>
      </c>
      <c r="F4" s="89">
        <f>COUNTIFS($F$15:$F$343,$B$4,$L$15:$L$343,F2)</f>
        <v>14</v>
      </c>
      <c r="G4" s="90">
        <f t="shared" ref="G4:G7" si="0">SUM(C4:F4)</f>
        <v>58</v>
      </c>
      <c r="H4" s="73"/>
      <c r="I4" s="78"/>
      <c r="J4" s="78"/>
      <c r="K4" s="38"/>
      <c r="L4" s="35"/>
      <c r="M4" s="428"/>
    </row>
    <row r="5" spans="1:27" ht="15" customHeight="1">
      <c r="B5" s="466" t="s">
        <v>46</v>
      </c>
      <c r="C5" s="89">
        <f>COUNTIFS($F$15:$F$343,$B$5,$L$15:$L$343,C2)</f>
        <v>17</v>
      </c>
      <c r="D5" s="89">
        <f>COUNTIFS($F$15:$F$343,$B$5,$L$15:$L$343,D2)</f>
        <v>23</v>
      </c>
      <c r="E5" s="89">
        <f>COUNTIFS($F$15:$F$343,$B$5,$L$15:$L$343,E2)</f>
        <v>1</v>
      </c>
      <c r="F5" s="89">
        <f>COUNTIFS($F$15:$F$343,$B$5,$L$15:$L$343,F2)</f>
        <v>7</v>
      </c>
      <c r="G5" s="90">
        <f t="shared" si="0"/>
        <v>48</v>
      </c>
      <c r="H5" s="73"/>
      <c r="I5" s="78"/>
      <c r="J5" s="78"/>
      <c r="K5" s="38"/>
      <c r="L5" s="35"/>
      <c r="M5" s="428"/>
    </row>
    <row r="6" spans="1:27" ht="15" customHeight="1">
      <c r="B6" s="466" t="s">
        <v>1176</v>
      </c>
      <c r="C6" s="89">
        <f>COUNTIFS($F$15:$F$343,$B$6,$L$15:$L$343,C2)</f>
        <v>13</v>
      </c>
      <c r="D6" s="89">
        <f>COUNTIFS($F$15:$F$343,$B$6,$L$15:$L$343,D2)</f>
        <v>13</v>
      </c>
      <c r="E6" s="89">
        <f>COUNTIFS($F$15:$F$343,$B$6,$L$15:$L$343,E2)</f>
        <v>0</v>
      </c>
      <c r="F6" s="89">
        <f>COUNTIFS($F$15:$F$343,$B$6,$L$15:$L$343,F2)</f>
        <v>12</v>
      </c>
      <c r="G6" s="90">
        <f t="shared" si="0"/>
        <v>38</v>
      </c>
      <c r="H6" s="73"/>
      <c r="I6" s="78"/>
      <c r="J6" s="78"/>
      <c r="K6" s="38"/>
      <c r="L6" s="35"/>
      <c r="M6" s="428"/>
    </row>
    <row r="7" spans="1:27" ht="15" customHeight="1">
      <c r="B7" s="466" t="s">
        <v>1177</v>
      </c>
      <c r="C7" s="89">
        <f>COUNTIFS($F$15:$F$343,$B$7,$L$15:$L$343,C2)</f>
        <v>1</v>
      </c>
      <c r="D7" s="89">
        <f>COUNTIFS($F$15:$F$343,$B$7,$L$15:$L$343,D2)</f>
        <v>1</v>
      </c>
      <c r="E7" s="89">
        <f>COUNTIFS($F$15:$F$343,$B$7,$L$15:$L$343,E2)</f>
        <v>0</v>
      </c>
      <c r="F7" s="89">
        <f>COUNTIFS($F$15:$F$343,$B$7,$L$15:$L$343,F2)</f>
        <v>0</v>
      </c>
      <c r="G7" s="90">
        <f t="shared" si="0"/>
        <v>2</v>
      </c>
      <c r="H7" s="73"/>
      <c r="I7" s="78"/>
      <c r="J7" s="78"/>
      <c r="K7" s="38"/>
      <c r="L7" s="35"/>
      <c r="M7" s="428"/>
    </row>
    <row r="8" spans="1:27" ht="15" customHeight="1" thickBot="1">
      <c r="B8" s="91" t="s">
        <v>1180</v>
      </c>
      <c r="C8" s="92">
        <f>SUM(C3:C7)</f>
        <v>118</v>
      </c>
      <c r="D8" s="92">
        <f t="shared" ref="D8:E8" si="1">SUM(D3:D7)</f>
        <v>77</v>
      </c>
      <c r="E8" s="92">
        <f t="shared" si="1"/>
        <v>1</v>
      </c>
      <c r="F8" s="92">
        <f>SUM(F3:F7)</f>
        <v>43</v>
      </c>
      <c r="G8" s="93">
        <f>SUM(C8:F8)</f>
        <v>239</v>
      </c>
      <c r="H8" s="117"/>
      <c r="I8" s="78"/>
      <c r="J8" s="78"/>
      <c r="K8" s="38"/>
      <c r="L8" s="35"/>
      <c r="M8" s="428"/>
    </row>
    <row r="9" spans="1:27" ht="15" customHeight="1" thickBot="1">
      <c r="H9" s="38"/>
      <c r="I9" s="78"/>
      <c r="J9" s="78"/>
      <c r="K9" s="38"/>
      <c r="L9" s="35"/>
      <c r="M9" s="428"/>
    </row>
    <row r="10" spans="1:27" s="87" customFormat="1" ht="26.25" customHeight="1">
      <c r="A10" s="528" t="s">
        <v>1170</v>
      </c>
      <c r="B10" s="529"/>
      <c r="C10" s="529"/>
      <c r="D10" s="529"/>
      <c r="E10" s="529"/>
      <c r="F10" s="529"/>
      <c r="G10" s="530"/>
      <c r="H10" s="523" t="s">
        <v>1172</v>
      </c>
      <c r="I10" s="524"/>
      <c r="J10" s="523" t="s">
        <v>1173</v>
      </c>
      <c r="K10" s="531"/>
      <c r="L10" s="523" t="s">
        <v>1174</v>
      </c>
      <c r="M10" s="524"/>
    </row>
    <row r="11" spans="1:27">
      <c r="A11" s="317" t="s">
        <v>0</v>
      </c>
      <c r="B11" s="88" t="s">
        <v>1</v>
      </c>
      <c r="C11" s="88" t="s">
        <v>2</v>
      </c>
      <c r="D11" s="88" t="s">
        <v>3</v>
      </c>
      <c r="E11" s="88" t="s">
        <v>4</v>
      </c>
      <c r="F11" s="88" t="s">
        <v>5</v>
      </c>
      <c r="G11" s="318" t="s">
        <v>6</v>
      </c>
      <c r="H11" s="287" t="s">
        <v>5</v>
      </c>
      <c r="I11" s="207" t="s">
        <v>1171</v>
      </c>
      <c r="J11" s="206" t="s">
        <v>5</v>
      </c>
      <c r="K11" s="478" t="s">
        <v>1171</v>
      </c>
      <c r="L11" s="206" t="s">
        <v>5</v>
      </c>
      <c r="M11" s="429" t="s">
        <v>1171</v>
      </c>
      <c r="N11" s="37"/>
      <c r="O11" s="37"/>
      <c r="P11" s="37"/>
      <c r="Q11" s="37"/>
      <c r="R11" s="37"/>
      <c r="S11" s="37"/>
      <c r="T11" s="37"/>
      <c r="U11" s="37"/>
      <c r="V11" s="37"/>
      <c r="W11" s="37"/>
      <c r="X11" s="37"/>
      <c r="Y11" s="37"/>
      <c r="Z11" s="37"/>
      <c r="AA11" s="37"/>
    </row>
    <row r="12" spans="1:27" ht="15" hidden="1" customHeight="1">
      <c r="A12" s="319" t="s">
        <v>599</v>
      </c>
      <c r="B12" s="202"/>
      <c r="C12" s="202"/>
      <c r="D12" s="202"/>
      <c r="E12" s="202"/>
      <c r="F12" s="202"/>
      <c r="G12" s="320" t="s">
        <v>1321</v>
      </c>
      <c r="H12" s="208"/>
      <c r="I12" s="209"/>
      <c r="J12" s="208"/>
      <c r="K12" s="202"/>
      <c r="L12" s="208"/>
      <c r="M12" s="430"/>
      <c r="N12" s="39"/>
      <c r="O12" s="39"/>
      <c r="P12" s="39"/>
      <c r="Q12" s="39"/>
      <c r="R12" s="39"/>
      <c r="S12" s="39"/>
      <c r="T12" s="39"/>
      <c r="U12" s="39"/>
      <c r="V12" s="39"/>
      <c r="W12" s="39"/>
      <c r="X12" s="39"/>
      <c r="Y12" s="39"/>
      <c r="Z12" s="39"/>
      <c r="AA12" s="39"/>
    </row>
    <row r="13" spans="1:27" ht="15.75" hidden="1" customHeight="1">
      <c r="A13" s="321" t="s">
        <v>603</v>
      </c>
      <c r="B13" s="204"/>
      <c r="C13" s="204"/>
      <c r="D13" s="204"/>
      <c r="E13" s="204"/>
      <c r="F13" s="204"/>
      <c r="G13" s="211"/>
      <c r="H13" s="210"/>
      <c r="I13" s="211"/>
      <c r="J13" s="210"/>
      <c r="K13" s="204"/>
      <c r="L13" s="210"/>
      <c r="M13" s="431"/>
      <c r="N13" s="39"/>
      <c r="O13" s="39"/>
      <c r="P13" s="39"/>
      <c r="Q13" s="39"/>
      <c r="R13" s="39"/>
      <c r="S13" s="39"/>
      <c r="T13" s="39"/>
      <c r="U13" s="39"/>
      <c r="V13" s="39"/>
      <c r="W13" s="39"/>
      <c r="X13" s="39"/>
      <c r="Y13" s="39"/>
      <c r="Z13" s="39"/>
      <c r="AA13" s="39"/>
    </row>
    <row r="14" spans="1:27" ht="15.75" hidden="1" customHeight="1" outlineLevel="1">
      <c r="A14" s="257" t="s">
        <v>7</v>
      </c>
      <c r="B14" s="203"/>
      <c r="C14" s="203"/>
      <c r="D14" s="203"/>
      <c r="E14" s="203"/>
      <c r="F14" s="203"/>
      <c r="G14" s="213"/>
      <c r="H14" s="257"/>
      <c r="I14" s="213"/>
      <c r="J14" s="257"/>
      <c r="K14" s="203"/>
      <c r="L14" s="212"/>
      <c r="M14" s="432"/>
      <c r="N14" s="39"/>
      <c r="O14" s="39"/>
      <c r="P14" s="39"/>
      <c r="Q14" s="39"/>
      <c r="R14" s="39"/>
      <c r="S14" s="39"/>
      <c r="T14" s="39"/>
      <c r="U14" s="39"/>
      <c r="V14" s="39"/>
      <c r="W14" s="39"/>
      <c r="X14" s="39"/>
      <c r="Y14" s="39"/>
      <c r="Z14" s="39"/>
      <c r="AA14" s="39"/>
    </row>
    <row r="15" spans="1:27" ht="134.25" hidden="1" customHeight="1" outlineLevel="1">
      <c r="A15" s="322">
        <v>1</v>
      </c>
      <c r="B15" s="79" t="s">
        <v>8</v>
      </c>
      <c r="C15" s="79" t="s">
        <v>9</v>
      </c>
      <c r="D15" s="79" t="s">
        <v>10</v>
      </c>
      <c r="E15" s="323" t="s">
        <v>11</v>
      </c>
      <c r="F15" s="99" t="s">
        <v>1175</v>
      </c>
      <c r="G15" s="324" t="s">
        <v>12</v>
      </c>
      <c r="H15" s="199"/>
      <c r="I15" s="225"/>
      <c r="J15" s="196"/>
      <c r="K15" s="479"/>
      <c r="L15" s="196" t="s">
        <v>1178</v>
      </c>
      <c r="M15" s="200" t="s">
        <v>1364</v>
      </c>
      <c r="N15" s="37"/>
      <c r="O15" s="37"/>
      <c r="P15" s="37"/>
      <c r="Q15" s="37"/>
      <c r="R15" s="37"/>
      <c r="S15" s="37"/>
      <c r="T15" s="37"/>
      <c r="U15" s="37"/>
      <c r="V15" s="37"/>
      <c r="W15" s="37"/>
      <c r="X15" s="37"/>
      <c r="Y15" s="37"/>
      <c r="Z15" s="37"/>
      <c r="AA15" s="39"/>
    </row>
    <row r="16" spans="1:27" hidden="1" outlineLevel="1">
      <c r="A16" s="258" t="s">
        <v>13</v>
      </c>
      <c r="B16" s="95"/>
      <c r="C16" s="98"/>
      <c r="D16" s="98"/>
      <c r="E16" s="98"/>
      <c r="F16" s="98"/>
      <c r="G16" s="195"/>
      <c r="H16" s="258"/>
      <c r="I16" s="195"/>
      <c r="J16" s="258"/>
      <c r="K16" s="98"/>
      <c r="L16" s="194"/>
      <c r="M16" s="433"/>
      <c r="N16" s="39"/>
      <c r="O16" s="39"/>
      <c r="P16" s="39"/>
      <c r="Q16" s="39"/>
      <c r="R16" s="39"/>
      <c r="S16" s="39"/>
      <c r="T16" s="39"/>
      <c r="U16" s="39"/>
      <c r="V16" s="37"/>
      <c r="W16" s="37"/>
      <c r="X16" s="37"/>
      <c r="Y16" s="37"/>
      <c r="Z16" s="37"/>
      <c r="AA16" s="39"/>
    </row>
    <row r="17" spans="1:27" ht="270.75" hidden="1" customHeight="1" outlineLevel="1">
      <c r="A17" s="325">
        <v>2</v>
      </c>
      <c r="B17" s="32" t="s">
        <v>14</v>
      </c>
      <c r="C17" s="32" t="s">
        <v>15</v>
      </c>
      <c r="D17" s="32" t="s">
        <v>16</v>
      </c>
      <c r="E17" s="33" t="s">
        <v>17</v>
      </c>
      <c r="F17" s="97" t="s">
        <v>1175</v>
      </c>
      <c r="G17" s="326" t="s">
        <v>18</v>
      </c>
      <c r="H17" s="196"/>
      <c r="I17" s="218"/>
      <c r="J17" s="196"/>
      <c r="K17" s="479"/>
      <c r="L17" s="196" t="s">
        <v>1178</v>
      </c>
      <c r="M17" s="197" t="s">
        <v>1363</v>
      </c>
      <c r="N17" s="37"/>
      <c r="O17" s="37"/>
      <c r="P17" s="37"/>
      <c r="Q17" s="37"/>
      <c r="R17" s="37"/>
      <c r="S17" s="37"/>
      <c r="T17" s="37"/>
      <c r="U17" s="37"/>
      <c r="V17" s="37"/>
      <c r="W17" s="37"/>
      <c r="X17" s="37"/>
      <c r="Y17" s="37"/>
      <c r="Z17" s="37"/>
      <c r="AA17" s="39"/>
    </row>
    <row r="18" spans="1:27" ht="155.25" hidden="1" customHeight="1" outlineLevel="1">
      <c r="A18" s="322">
        <v>3</v>
      </c>
      <c r="B18" s="79" t="s">
        <v>604</v>
      </c>
      <c r="C18" s="79" t="s">
        <v>19</v>
      </c>
      <c r="D18" s="79" t="s">
        <v>605</v>
      </c>
      <c r="E18" s="323" t="s">
        <v>20</v>
      </c>
      <c r="F18" s="96" t="s">
        <v>1175</v>
      </c>
      <c r="G18" s="324" t="s">
        <v>21</v>
      </c>
      <c r="H18" s="196"/>
      <c r="I18" s="218"/>
      <c r="J18" s="196"/>
      <c r="K18" s="479"/>
      <c r="L18" s="196" t="s">
        <v>1178</v>
      </c>
      <c r="M18" s="198" t="s">
        <v>1444</v>
      </c>
      <c r="N18" s="37"/>
      <c r="O18" s="37"/>
      <c r="P18" s="37"/>
      <c r="Q18" s="37"/>
      <c r="R18" s="37"/>
      <c r="S18" s="37"/>
      <c r="T18" s="37"/>
      <c r="U18" s="37"/>
      <c r="V18" s="37"/>
      <c r="W18" s="37"/>
      <c r="X18" s="37"/>
      <c r="Y18" s="37"/>
      <c r="Z18" s="37"/>
      <c r="AA18" s="39"/>
    </row>
    <row r="19" spans="1:27" ht="15" hidden="1" customHeight="1" outlineLevel="1">
      <c r="A19" s="258" t="s">
        <v>606</v>
      </c>
      <c r="B19" s="98"/>
      <c r="C19" s="98"/>
      <c r="D19" s="98"/>
      <c r="E19" s="98"/>
      <c r="F19" s="98"/>
      <c r="G19" s="195"/>
      <c r="H19" s="258"/>
      <c r="I19" s="195"/>
      <c r="J19" s="258"/>
      <c r="K19" s="98"/>
      <c r="L19" s="194"/>
      <c r="M19" s="433"/>
      <c r="N19" s="37"/>
      <c r="O19" s="37"/>
      <c r="P19" s="37"/>
      <c r="Q19" s="37"/>
      <c r="R19" s="37"/>
      <c r="S19" s="37"/>
      <c r="T19" s="37"/>
      <c r="U19" s="37"/>
      <c r="V19" s="37"/>
      <c r="W19" s="37"/>
      <c r="X19" s="37"/>
      <c r="Y19" s="37"/>
      <c r="Z19" s="37"/>
      <c r="AA19" s="39"/>
    </row>
    <row r="20" spans="1:27" ht="144" customHeight="1" outlineLevel="1">
      <c r="A20" s="322">
        <v>5</v>
      </c>
      <c r="B20" s="79" t="s">
        <v>23</v>
      </c>
      <c r="C20" s="79" t="s">
        <v>24</v>
      </c>
      <c r="D20" s="79" t="s">
        <v>607</v>
      </c>
      <c r="E20" s="323" t="s">
        <v>25</v>
      </c>
      <c r="F20" s="99" t="s">
        <v>1175</v>
      </c>
      <c r="G20" s="324" t="s">
        <v>1313</v>
      </c>
      <c r="H20" s="199" t="s">
        <v>1178</v>
      </c>
      <c r="I20" s="219" t="s">
        <v>1377</v>
      </c>
      <c r="J20" s="199" t="s">
        <v>1182</v>
      </c>
      <c r="K20" s="480" t="s">
        <v>1322</v>
      </c>
      <c r="L20" s="199" t="s">
        <v>1178</v>
      </c>
      <c r="M20" s="219" t="s">
        <v>1451</v>
      </c>
      <c r="N20" s="522"/>
      <c r="O20" s="37"/>
      <c r="P20" s="37"/>
      <c r="Q20" s="37"/>
      <c r="R20" s="37"/>
      <c r="S20" s="37"/>
      <c r="T20" s="37"/>
      <c r="U20" s="37"/>
      <c r="V20" s="37"/>
      <c r="W20" s="37"/>
      <c r="X20" s="37"/>
      <c r="Y20" s="37"/>
      <c r="Z20" s="37"/>
      <c r="AA20" s="39"/>
    </row>
    <row r="21" spans="1:27" ht="20.25" hidden="1" customHeight="1" outlineLevel="1">
      <c r="A21" s="259" t="s">
        <v>26</v>
      </c>
      <c r="B21" s="101"/>
      <c r="C21" s="101"/>
      <c r="D21" s="101"/>
      <c r="E21" s="101"/>
      <c r="F21" s="101"/>
      <c r="G21" s="201"/>
      <c r="H21" s="259"/>
      <c r="I21" s="201"/>
      <c r="J21" s="259"/>
      <c r="K21" s="101"/>
      <c r="L21" s="194"/>
      <c r="M21" s="433"/>
      <c r="N21" s="39"/>
      <c r="O21" s="39"/>
      <c r="P21" s="39"/>
      <c r="Q21" s="39"/>
      <c r="R21" s="39"/>
      <c r="S21" s="39"/>
      <c r="T21" s="39"/>
      <c r="U21" s="39"/>
      <c r="V21" s="37"/>
      <c r="W21" s="37"/>
      <c r="X21" s="37"/>
      <c r="Y21" s="37"/>
      <c r="Z21" s="37"/>
      <c r="AA21" s="39"/>
    </row>
    <row r="22" spans="1:27" ht="315.75" hidden="1" customHeight="1" outlineLevel="1">
      <c r="A22" s="327">
        <v>7</v>
      </c>
      <c r="B22" s="80" t="s">
        <v>27</v>
      </c>
      <c r="C22" s="323" t="s">
        <v>28</v>
      </c>
      <c r="D22" s="80" t="s">
        <v>29</v>
      </c>
      <c r="E22" s="323" t="s">
        <v>30</v>
      </c>
      <c r="F22" s="102" t="s">
        <v>56</v>
      </c>
      <c r="G22" s="324" t="s">
        <v>31</v>
      </c>
      <c r="H22" s="199"/>
      <c r="I22" s="218"/>
      <c r="J22" s="199"/>
      <c r="K22" s="479"/>
      <c r="L22" s="199" t="s">
        <v>1178</v>
      </c>
      <c r="M22" s="200" t="s">
        <v>1445</v>
      </c>
      <c r="N22" s="37"/>
      <c r="O22" s="37"/>
      <c r="P22" s="37"/>
      <c r="Q22" s="37"/>
      <c r="R22" s="37"/>
      <c r="S22" s="37"/>
      <c r="T22" s="37"/>
      <c r="U22" s="37"/>
      <c r="V22" s="37"/>
      <c r="W22" s="37"/>
      <c r="X22" s="37"/>
      <c r="Y22" s="37"/>
      <c r="Z22" s="37"/>
      <c r="AA22" s="39"/>
    </row>
    <row r="23" spans="1:27" ht="15" hidden="1" customHeight="1" collapsed="1">
      <c r="A23" s="263" t="s">
        <v>608</v>
      </c>
      <c r="B23" s="104"/>
      <c r="C23" s="104"/>
      <c r="D23" s="104"/>
      <c r="E23" s="104"/>
      <c r="F23" s="104"/>
      <c r="G23" s="215"/>
      <c r="H23" s="260"/>
      <c r="I23" s="215"/>
      <c r="J23" s="260"/>
      <c r="K23" s="104"/>
      <c r="L23" s="214"/>
      <c r="M23" s="434"/>
      <c r="N23" s="37"/>
      <c r="O23" s="37"/>
      <c r="P23" s="37"/>
      <c r="Q23" s="37"/>
      <c r="R23" s="37"/>
      <c r="S23" s="37"/>
      <c r="T23" s="37"/>
      <c r="U23" s="37"/>
      <c r="V23" s="37"/>
      <c r="W23" s="37"/>
      <c r="X23" s="37"/>
      <c r="Y23" s="37"/>
      <c r="Z23" s="37"/>
      <c r="AA23" s="39"/>
    </row>
    <row r="24" spans="1:27" ht="15" hidden="1" customHeight="1" outlineLevel="1">
      <c r="A24" s="258" t="s">
        <v>7</v>
      </c>
      <c r="B24" s="98"/>
      <c r="C24" s="98"/>
      <c r="D24" s="98"/>
      <c r="E24" s="98"/>
      <c r="F24" s="98"/>
      <c r="G24" s="195"/>
      <c r="H24" s="258"/>
      <c r="I24" s="195"/>
      <c r="J24" s="258"/>
      <c r="K24" s="98"/>
      <c r="L24" s="194"/>
      <c r="M24" s="433"/>
      <c r="N24" s="37"/>
      <c r="O24" s="37"/>
      <c r="P24" s="37"/>
      <c r="Q24" s="37"/>
      <c r="R24" s="37"/>
      <c r="S24" s="37"/>
      <c r="T24" s="37"/>
      <c r="U24" s="37"/>
      <c r="V24" s="37"/>
      <c r="W24" s="37"/>
      <c r="X24" s="37"/>
      <c r="Y24" s="37"/>
      <c r="Z24" s="37"/>
      <c r="AA24" s="39"/>
    </row>
    <row r="25" spans="1:27" ht="242.25" hidden="1" outlineLevel="1">
      <c r="A25" s="322">
        <v>8</v>
      </c>
      <c r="B25" s="79" t="s">
        <v>32</v>
      </c>
      <c r="C25" s="79" t="s">
        <v>33</v>
      </c>
      <c r="D25" s="79" t="s">
        <v>34</v>
      </c>
      <c r="E25" s="323" t="s">
        <v>35</v>
      </c>
      <c r="F25" s="102" t="s">
        <v>56</v>
      </c>
      <c r="G25" s="324" t="s">
        <v>36</v>
      </c>
      <c r="H25" s="199"/>
      <c r="I25" s="288"/>
      <c r="J25" s="199"/>
      <c r="K25" s="481"/>
      <c r="L25" s="199" t="s">
        <v>1182</v>
      </c>
      <c r="M25" s="511" t="s">
        <v>1335</v>
      </c>
      <c r="N25" s="37"/>
      <c r="O25" s="37"/>
      <c r="P25" s="37"/>
      <c r="Q25" s="37"/>
      <c r="R25" s="37"/>
      <c r="S25" s="37"/>
      <c r="T25" s="37"/>
      <c r="U25" s="37"/>
      <c r="V25" s="37"/>
      <c r="W25" s="37"/>
      <c r="X25" s="37"/>
      <c r="Y25" s="37"/>
      <c r="Z25" s="37"/>
      <c r="AA25" s="39"/>
    </row>
    <row r="26" spans="1:27" ht="15" hidden="1" customHeight="1">
      <c r="A26" s="261" t="s">
        <v>609</v>
      </c>
      <c r="B26" s="105"/>
      <c r="C26" s="105"/>
      <c r="D26" s="105"/>
      <c r="E26" s="105"/>
      <c r="F26" s="105"/>
      <c r="G26" s="217"/>
      <c r="H26" s="261"/>
      <c r="I26" s="217"/>
      <c r="J26" s="261"/>
      <c r="K26" s="105"/>
      <c r="L26" s="216"/>
      <c r="M26" s="435"/>
      <c r="N26" s="39"/>
      <c r="O26" s="39"/>
      <c r="P26" s="39"/>
      <c r="Q26" s="39"/>
      <c r="R26" s="39"/>
      <c r="S26" s="39"/>
      <c r="T26" s="39"/>
      <c r="U26" s="39"/>
      <c r="V26" s="39"/>
      <c r="W26" s="39"/>
      <c r="X26" s="39"/>
      <c r="Y26" s="39"/>
      <c r="Z26" s="39"/>
      <c r="AA26" s="39"/>
    </row>
    <row r="27" spans="1:27" ht="242.25" outlineLevel="1">
      <c r="A27" s="472">
        <v>9</v>
      </c>
      <c r="B27" s="473" t="s">
        <v>91</v>
      </c>
      <c r="C27" s="473" t="s">
        <v>92</v>
      </c>
      <c r="D27" s="473" t="s">
        <v>93</v>
      </c>
      <c r="E27" s="473" t="s">
        <v>94</v>
      </c>
      <c r="F27" s="474" t="s">
        <v>1175</v>
      </c>
      <c r="G27" s="475" t="s">
        <v>95</v>
      </c>
      <c r="H27" s="196"/>
      <c r="I27" s="289"/>
      <c r="J27" s="196" t="s">
        <v>1178</v>
      </c>
      <c r="K27" s="482" t="s">
        <v>1426</v>
      </c>
      <c r="L27" s="196" t="s">
        <v>1178</v>
      </c>
      <c r="M27" s="219" t="s">
        <v>1448</v>
      </c>
      <c r="N27" s="521"/>
      <c r="O27" s="39"/>
      <c r="P27" s="39"/>
      <c r="Q27" s="39"/>
      <c r="R27" s="39"/>
      <c r="S27" s="39"/>
      <c r="T27" s="39"/>
      <c r="U27" s="39"/>
      <c r="V27" s="39"/>
      <c r="W27" s="39"/>
      <c r="X27" s="39"/>
      <c r="Y27" s="39"/>
      <c r="Z27" s="39"/>
      <c r="AA27" s="39"/>
    </row>
    <row r="28" spans="1:27" ht="270.75" hidden="1" outlineLevel="1">
      <c r="A28" s="330">
        <v>10</v>
      </c>
      <c r="B28" s="40" t="s">
        <v>96</v>
      </c>
      <c r="C28" s="40" t="s">
        <v>97</v>
      </c>
      <c r="D28" s="40" t="s">
        <v>98</v>
      </c>
      <c r="E28" s="40" t="s">
        <v>99</v>
      </c>
      <c r="F28" s="45" t="s">
        <v>1175</v>
      </c>
      <c r="G28" s="331" t="s">
        <v>100</v>
      </c>
      <c r="H28" s="196"/>
      <c r="I28" s="289"/>
      <c r="J28" s="196"/>
      <c r="K28" s="483"/>
      <c r="L28" s="196" t="s">
        <v>1178</v>
      </c>
      <c r="M28" s="218" t="s">
        <v>1336</v>
      </c>
      <c r="N28" s="39"/>
      <c r="O28" s="39"/>
      <c r="P28" s="39"/>
      <c r="Q28" s="39"/>
      <c r="R28" s="39"/>
      <c r="S28" s="39"/>
      <c r="T28" s="39"/>
      <c r="U28" s="39"/>
      <c r="V28" s="39"/>
      <c r="W28" s="39"/>
      <c r="X28" s="39"/>
      <c r="Y28" s="39"/>
      <c r="Z28" s="39"/>
      <c r="AA28" s="39"/>
    </row>
    <row r="29" spans="1:27" ht="156.75" outlineLevel="1">
      <c r="A29" s="330">
        <v>11</v>
      </c>
      <c r="B29" s="40" t="s">
        <v>101</v>
      </c>
      <c r="C29" s="40" t="s">
        <v>102</v>
      </c>
      <c r="D29" s="40" t="s">
        <v>103</v>
      </c>
      <c r="E29" s="40" t="s">
        <v>104</v>
      </c>
      <c r="F29" s="45" t="s">
        <v>1175</v>
      </c>
      <c r="G29" s="331" t="s">
        <v>105</v>
      </c>
      <c r="H29" s="196"/>
      <c r="I29" s="289"/>
      <c r="J29" s="196" t="s">
        <v>1178</v>
      </c>
      <c r="K29" s="484" t="s">
        <v>1323</v>
      </c>
      <c r="L29" s="196" t="s">
        <v>1178</v>
      </c>
      <c r="M29" s="219" t="s">
        <v>1449</v>
      </c>
      <c r="N29" s="521"/>
      <c r="O29" s="39"/>
      <c r="P29" s="39"/>
      <c r="Q29" s="39"/>
      <c r="R29" s="39"/>
      <c r="S29" s="39"/>
      <c r="T29" s="39"/>
      <c r="U29" s="39"/>
      <c r="V29" s="39"/>
      <c r="W29" s="39"/>
      <c r="X29" s="39"/>
      <c r="Y29" s="39"/>
      <c r="Z29" s="39"/>
      <c r="AA29" s="39"/>
    </row>
    <row r="30" spans="1:27" ht="342" hidden="1" outlineLevel="1">
      <c r="A30" s="330">
        <v>12</v>
      </c>
      <c r="B30" s="40" t="s">
        <v>106</v>
      </c>
      <c r="C30" s="40" t="s">
        <v>107</v>
      </c>
      <c r="D30" s="40" t="s">
        <v>108</v>
      </c>
      <c r="E30" s="40" t="s">
        <v>109</v>
      </c>
      <c r="F30" s="45" t="s">
        <v>1175</v>
      </c>
      <c r="G30" s="331" t="s">
        <v>110</v>
      </c>
      <c r="H30" s="196"/>
      <c r="I30" s="289"/>
      <c r="J30" s="196"/>
      <c r="K30" s="483"/>
      <c r="L30" s="196" t="s">
        <v>1182</v>
      </c>
      <c r="M30" s="219" t="s">
        <v>1314</v>
      </c>
      <c r="N30" s="39"/>
      <c r="O30" s="39"/>
      <c r="P30" s="39"/>
      <c r="Q30" s="39"/>
      <c r="R30" s="39"/>
      <c r="S30" s="39"/>
      <c r="T30" s="39"/>
      <c r="U30" s="39"/>
      <c r="V30" s="39"/>
      <c r="W30" s="39"/>
      <c r="X30" s="39"/>
      <c r="Y30" s="39"/>
      <c r="Z30" s="39"/>
      <c r="AA30" s="39"/>
    </row>
    <row r="31" spans="1:27" ht="185.25" hidden="1" outlineLevel="1">
      <c r="A31" s="330">
        <v>13</v>
      </c>
      <c r="B31" s="84" t="s">
        <v>111</v>
      </c>
      <c r="C31" s="84" t="s">
        <v>112</v>
      </c>
      <c r="D31" s="84" t="s">
        <v>113</v>
      </c>
      <c r="E31" s="84" t="s">
        <v>114</v>
      </c>
      <c r="F31" s="107" t="s">
        <v>56</v>
      </c>
      <c r="G31" s="332" t="s">
        <v>115</v>
      </c>
      <c r="H31" s="196"/>
      <c r="I31" s="289"/>
      <c r="J31" s="196"/>
      <c r="K31" s="483"/>
      <c r="L31" s="196" t="s">
        <v>1182</v>
      </c>
      <c r="M31" s="220" t="s">
        <v>1314</v>
      </c>
      <c r="N31" s="39"/>
      <c r="O31" s="39"/>
      <c r="P31" s="39"/>
      <c r="Q31" s="39"/>
      <c r="R31" s="39"/>
      <c r="S31" s="39"/>
      <c r="T31" s="39"/>
      <c r="U31" s="39"/>
      <c r="V31" s="39"/>
      <c r="W31" s="39"/>
      <c r="X31" s="39"/>
      <c r="Y31" s="39"/>
      <c r="Z31" s="39"/>
      <c r="AA31" s="39"/>
    </row>
    <row r="32" spans="1:27" hidden="1" outlineLevel="1">
      <c r="A32" s="333" t="s">
        <v>7</v>
      </c>
      <c r="B32" s="109"/>
      <c r="C32" s="110"/>
      <c r="D32" s="110"/>
      <c r="E32" s="110"/>
      <c r="F32" s="110"/>
      <c r="G32" s="222"/>
      <c r="H32" s="221"/>
      <c r="I32" s="222"/>
      <c r="J32" s="221"/>
      <c r="K32" s="110"/>
      <c r="L32" s="221"/>
      <c r="M32" s="436"/>
      <c r="N32" s="39"/>
      <c r="O32" s="39"/>
      <c r="P32" s="39"/>
      <c r="Q32" s="39"/>
      <c r="R32" s="39"/>
      <c r="S32" s="39"/>
      <c r="T32" s="39"/>
      <c r="U32" s="39"/>
      <c r="V32" s="39"/>
      <c r="W32" s="39"/>
      <c r="X32" s="39"/>
      <c r="Y32" s="39"/>
      <c r="Z32" s="39"/>
      <c r="AA32" s="39"/>
    </row>
    <row r="33" spans="1:27" ht="315" hidden="1" customHeight="1" outlineLevel="1">
      <c r="A33" s="322">
        <v>14</v>
      </c>
      <c r="B33" s="79" t="s">
        <v>37</v>
      </c>
      <c r="C33" s="79" t="s">
        <v>38</v>
      </c>
      <c r="D33" s="79" t="s">
        <v>39</v>
      </c>
      <c r="E33" s="323" t="s">
        <v>40</v>
      </c>
      <c r="F33" s="99" t="s">
        <v>1175</v>
      </c>
      <c r="G33" s="324" t="s">
        <v>41</v>
      </c>
      <c r="H33" s="196"/>
      <c r="I33" s="289"/>
      <c r="J33" s="196"/>
      <c r="K33" s="483"/>
      <c r="L33" s="196" t="s">
        <v>1182</v>
      </c>
      <c r="M33" s="220" t="s">
        <v>1314</v>
      </c>
      <c r="N33" s="426"/>
      <c r="O33" s="37"/>
      <c r="P33" s="37"/>
      <c r="Q33" s="37"/>
      <c r="R33" s="37"/>
      <c r="S33" s="37"/>
      <c r="T33" s="37"/>
      <c r="U33" s="37"/>
      <c r="V33" s="37"/>
      <c r="W33" s="37"/>
      <c r="X33" s="37"/>
      <c r="Y33" s="37"/>
      <c r="Z33" s="37"/>
      <c r="AA33" s="39"/>
    </row>
    <row r="34" spans="1:27" ht="18.75" hidden="1" customHeight="1" outlineLevel="1">
      <c r="A34" s="334" t="s">
        <v>22</v>
      </c>
      <c r="B34" s="111"/>
      <c r="C34" s="98"/>
      <c r="D34" s="98"/>
      <c r="E34" s="98"/>
      <c r="F34" s="98"/>
      <c r="G34" s="195"/>
      <c r="H34" s="258"/>
      <c r="I34" s="195"/>
      <c r="J34" s="258"/>
      <c r="K34" s="98"/>
      <c r="L34" s="194"/>
      <c r="M34" s="433"/>
      <c r="N34" s="37"/>
      <c r="O34" s="37"/>
      <c r="P34" s="37"/>
      <c r="Q34" s="37"/>
      <c r="R34" s="37"/>
      <c r="S34" s="37"/>
      <c r="T34" s="37"/>
      <c r="U34" s="37"/>
      <c r="V34" s="37"/>
      <c r="W34" s="37"/>
      <c r="X34" s="37"/>
      <c r="Y34" s="37"/>
      <c r="Z34" s="37"/>
      <c r="AA34" s="39"/>
    </row>
    <row r="35" spans="1:27" ht="152.25" hidden="1" customHeight="1" outlineLevel="1">
      <c r="A35" s="322">
        <v>15</v>
      </c>
      <c r="B35" s="79" t="s">
        <v>42</v>
      </c>
      <c r="C35" s="79" t="s">
        <v>43</v>
      </c>
      <c r="D35" s="79" t="s">
        <v>44</v>
      </c>
      <c r="E35" s="323" t="s">
        <v>45</v>
      </c>
      <c r="F35" s="83" t="s">
        <v>46</v>
      </c>
      <c r="G35" s="324" t="s">
        <v>36</v>
      </c>
      <c r="H35" s="196"/>
      <c r="I35" s="289"/>
      <c r="J35" s="196"/>
      <c r="K35" s="483"/>
      <c r="L35" s="196" t="s">
        <v>1182</v>
      </c>
      <c r="M35" s="512" t="s">
        <v>1314</v>
      </c>
      <c r="N35" s="37"/>
      <c r="O35" s="37"/>
      <c r="P35" s="37"/>
      <c r="Q35" s="37"/>
      <c r="R35" s="37"/>
      <c r="S35" s="37"/>
      <c r="T35" s="37"/>
      <c r="U35" s="37"/>
      <c r="V35" s="37"/>
      <c r="W35" s="37"/>
      <c r="X35" s="37"/>
      <c r="Y35" s="37"/>
      <c r="Z35" s="37"/>
      <c r="AA35" s="39"/>
    </row>
    <row r="36" spans="1:27" ht="15" hidden="1" customHeight="1" collapsed="1">
      <c r="A36" s="263" t="s">
        <v>610</v>
      </c>
      <c r="B36" s="106"/>
      <c r="C36" s="106"/>
      <c r="D36" s="106"/>
      <c r="E36" s="106"/>
      <c r="F36" s="106"/>
      <c r="G36" s="224"/>
      <c r="H36" s="263"/>
      <c r="I36" s="224"/>
      <c r="J36" s="263"/>
      <c r="K36" s="106"/>
      <c r="L36" s="223"/>
      <c r="M36" s="437"/>
      <c r="N36" s="39"/>
      <c r="O36" s="39"/>
      <c r="P36" s="39"/>
      <c r="Q36" s="39"/>
      <c r="R36" s="39"/>
      <c r="S36" s="39"/>
      <c r="T36" s="39"/>
      <c r="U36" s="39"/>
      <c r="V36" s="39"/>
      <c r="W36" s="39"/>
      <c r="X36" s="39"/>
      <c r="Y36" s="39"/>
      <c r="Z36" s="39"/>
      <c r="AA36" s="39"/>
    </row>
    <row r="37" spans="1:27" hidden="1" outlineLevel="1">
      <c r="A37" s="258" t="s">
        <v>7</v>
      </c>
      <c r="B37" s="98"/>
      <c r="C37" s="98"/>
      <c r="D37" s="98"/>
      <c r="E37" s="98"/>
      <c r="F37" s="98"/>
      <c r="G37" s="195"/>
      <c r="H37" s="258"/>
      <c r="I37" s="195"/>
      <c r="J37" s="258"/>
      <c r="K37" s="98"/>
      <c r="L37" s="194"/>
      <c r="M37" s="433"/>
      <c r="N37" s="39"/>
      <c r="O37" s="39"/>
      <c r="P37" s="39"/>
      <c r="Q37" s="39"/>
      <c r="R37" s="39"/>
      <c r="S37" s="39"/>
      <c r="T37" s="39"/>
      <c r="U37" s="39"/>
      <c r="V37" s="39"/>
      <c r="W37" s="39"/>
      <c r="X37" s="39"/>
      <c r="Y37" s="39"/>
      <c r="Z37" s="39"/>
      <c r="AA37" s="39"/>
    </row>
    <row r="38" spans="1:27" ht="156.75" hidden="1" outlineLevel="1">
      <c r="A38" s="328">
        <v>16</v>
      </c>
      <c r="B38" s="81" t="s">
        <v>116</v>
      </c>
      <c r="C38" s="81" t="s">
        <v>117</v>
      </c>
      <c r="D38" s="81" t="s">
        <v>118</v>
      </c>
      <c r="E38" s="81" t="s">
        <v>119</v>
      </c>
      <c r="F38" s="86" t="s">
        <v>46</v>
      </c>
      <c r="G38" s="329" t="s">
        <v>120</v>
      </c>
      <c r="H38" s="196"/>
      <c r="I38" s="289"/>
      <c r="J38" s="196"/>
      <c r="K38" s="483"/>
      <c r="L38" s="196" t="s">
        <v>1182</v>
      </c>
      <c r="M38" s="512" t="s">
        <v>1314</v>
      </c>
      <c r="N38" s="39"/>
      <c r="O38" s="39"/>
      <c r="P38" s="39"/>
      <c r="Q38" s="39"/>
      <c r="R38" s="39"/>
      <c r="S38" s="39"/>
      <c r="T38" s="39"/>
      <c r="U38" s="39"/>
      <c r="V38" s="39"/>
      <c r="W38" s="39"/>
      <c r="X38" s="39"/>
      <c r="Y38" s="39"/>
      <c r="Z38" s="39"/>
      <c r="AA38" s="39"/>
    </row>
    <row r="39" spans="1:27" ht="386.25" hidden="1" outlineLevel="1">
      <c r="A39" s="330">
        <v>17</v>
      </c>
      <c r="B39" s="40" t="s">
        <v>116</v>
      </c>
      <c r="C39" s="40" t="s">
        <v>121</v>
      </c>
      <c r="D39" s="40" t="s">
        <v>1164</v>
      </c>
      <c r="E39" s="40" t="s">
        <v>122</v>
      </c>
      <c r="F39" s="41" t="s">
        <v>46</v>
      </c>
      <c r="G39" s="331" t="s">
        <v>123</v>
      </c>
      <c r="H39" s="196"/>
      <c r="I39" s="289"/>
      <c r="J39" s="196"/>
      <c r="K39" s="483"/>
      <c r="L39" s="196" t="s">
        <v>1182</v>
      </c>
      <c r="M39" s="512" t="s">
        <v>1314</v>
      </c>
      <c r="N39" s="39"/>
      <c r="O39" s="39"/>
      <c r="P39" s="39"/>
      <c r="Q39" s="39"/>
      <c r="R39" s="39"/>
      <c r="S39" s="39"/>
      <c r="T39" s="39"/>
      <c r="U39" s="39"/>
      <c r="V39" s="39"/>
      <c r="W39" s="39"/>
      <c r="X39" s="39"/>
      <c r="Y39" s="39"/>
      <c r="Z39" s="39"/>
      <c r="AA39" s="39"/>
    </row>
    <row r="40" spans="1:27" ht="327.75" hidden="1" outlineLevel="1">
      <c r="A40" s="335">
        <v>18</v>
      </c>
      <c r="B40" s="40" t="s">
        <v>124</v>
      </c>
      <c r="C40" s="40" t="s">
        <v>125</v>
      </c>
      <c r="D40" s="40" t="s">
        <v>126</v>
      </c>
      <c r="E40" s="40" t="s">
        <v>127</v>
      </c>
      <c r="F40" s="41" t="s">
        <v>46</v>
      </c>
      <c r="G40" s="331" t="s">
        <v>128</v>
      </c>
      <c r="H40" s="196"/>
      <c r="I40" s="289"/>
      <c r="J40" s="196"/>
      <c r="K40" s="483"/>
      <c r="L40" s="196" t="s">
        <v>1182</v>
      </c>
      <c r="M40" s="512" t="s">
        <v>1314</v>
      </c>
      <c r="N40" s="39"/>
      <c r="O40" s="39"/>
      <c r="P40" s="39"/>
      <c r="Q40" s="39"/>
      <c r="R40" s="39"/>
      <c r="S40" s="39"/>
      <c r="T40" s="39"/>
      <c r="U40" s="39"/>
      <c r="V40" s="39"/>
      <c r="W40" s="39"/>
      <c r="X40" s="39"/>
      <c r="Y40" s="39"/>
      <c r="Z40" s="39"/>
      <c r="AA40" s="39"/>
    </row>
    <row r="41" spans="1:27" ht="370.5" hidden="1" outlineLevel="1">
      <c r="A41" s="335">
        <v>19</v>
      </c>
      <c r="B41" s="40" t="s">
        <v>124</v>
      </c>
      <c r="C41" s="40" t="s">
        <v>129</v>
      </c>
      <c r="D41" s="40" t="s">
        <v>130</v>
      </c>
      <c r="E41" s="40" t="s">
        <v>131</v>
      </c>
      <c r="F41" s="41" t="s">
        <v>46</v>
      </c>
      <c r="G41" s="331" t="s">
        <v>132</v>
      </c>
      <c r="H41" s="196"/>
      <c r="I41" s="289"/>
      <c r="J41" s="196"/>
      <c r="K41" s="483"/>
      <c r="L41" s="196" t="s">
        <v>1182</v>
      </c>
      <c r="M41" s="512" t="s">
        <v>1314</v>
      </c>
      <c r="N41" s="39"/>
      <c r="O41" s="39"/>
      <c r="P41" s="39"/>
      <c r="Q41" s="39"/>
      <c r="R41" s="39"/>
      <c r="S41" s="39"/>
      <c r="T41" s="39"/>
      <c r="U41" s="39"/>
      <c r="V41" s="39"/>
      <c r="W41" s="39"/>
      <c r="X41" s="39"/>
      <c r="Y41" s="39"/>
      <c r="Z41" s="39"/>
      <c r="AA41" s="39"/>
    </row>
    <row r="42" spans="1:27" ht="256.5" hidden="1" outlineLevel="1">
      <c r="A42" s="335">
        <v>20</v>
      </c>
      <c r="B42" s="40" t="s">
        <v>124</v>
      </c>
      <c r="C42" s="40" t="s">
        <v>133</v>
      </c>
      <c r="D42" s="40" t="s">
        <v>611</v>
      </c>
      <c r="E42" s="40" t="s">
        <v>134</v>
      </c>
      <c r="F42" s="41" t="s">
        <v>46</v>
      </c>
      <c r="G42" s="331" t="s">
        <v>135</v>
      </c>
      <c r="H42" s="196"/>
      <c r="I42" s="289"/>
      <c r="J42" s="196"/>
      <c r="K42" s="483"/>
      <c r="L42" s="196" t="s">
        <v>1182</v>
      </c>
      <c r="M42" s="512" t="s">
        <v>1314</v>
      </c>
      <c r="N42" s="39"/>
      <c r="O42" s="39"/>
      <c r="P42" s="39"/>
      <c r="Q42" s="39"/>
      <c r="R42" s="39"/>
      <c r="S42" s="39"/>
      <c r="T42" s="39"/>
      <c r="U42" s="39"/>
      <c r="V42" s="39"/>
      <c r="W42" s="39"/>
      <c r="X42" s="39"/>
      <c r="Y42" s="39"/>
      <c r="Z42" s="39"/>
      <c r="AA42" s="39"/>
    </row>
    <row r="43" spans="1:27" ht="285" hidden="1" outlineLevel="1">
      <c r="A43" s="335">
        <v>21</v>
      </c>
      <c r="B43" s="40" t="s">
        <v>136</v>
      </c>
      <c r="C43" s="40" t="s">
        <v>137</v>
      </c>
      <c r="D43" s="40" t="s">
        <v>138</v>
      </c>
      <c r="E43" s="40" t="s">
        <v>139</v>
      </c>
      <c r="F43" s="41" t="s">
        <v>46</v>
      </c>
      <c r="G43" s="331" t="s">
        <v>140</v>
      </c>
      <c r="H43" s="196"/>
      <c r="I43" s="289"/>
      <c r="J43" s="196"/>
      <c r="K43" s="483"/>
      <c r="L43" s="196" t="s">
        <v>1182</v>
      </c>
      <c r="M43" s="512" t="s">
        <v>1314</v>
      </c>
      <c r="N43" s="39"/>
      <c r="O43" s="39"/>
      <c r="P43" s="39"/>
      <c r="Q43" s="39"/>
      <c r="R43" s="39"/>
      <c r="S43" s="39"/>
      <c r="T43" s="39"/>
      <c r="U43" s="39"/>
      <c r="V43" s="39"/>
      <c r="W43" s="39"/>
      <c r="X43" s="39"/>
      <c r="Y43" s="39"/>
      <c r="Z43" s="39"/>
      <c r="AA43" s="39"/>
    </row>
    <row r="44" spans="1:27" ht="256.5" hidden="1" outlineLevel="1">
      <c r="A44" s="335">
        <v>22</v>
      </c>
      <c r="B44" s="40" t="s">
        <v>124</v>
      </c>
      <c r="C44" s="40" t="s">
        <v>141</v>
      </c>
      <c r="D44" s="40" t="s">
        <v>142</v>
      </c>
      <c r="E44" s="40" t="s">
        <v>143</v>
      </c>
      <c r="F44" s="41" t="s">
        <v>46</v>
      </c>
      <c r="G44" s="331" t="s">
        <v>144</v>
      </c>
      <c r="H44" s="196"/>
      <c r="I44" s="289"/>
      <c r="J44" s="196"/>
      <c r="K44" s="483"/>
      <c r="L44" s="196" t="s">
        <v>1182</v>
      </c>
      <c r="M44" s="512" t="s">
        <v>1314</v>
      </c>
      <c r="N44" s="39"/>
      <c r="O44" s="39"/>
      <c r="P44" s="39"/>
      <c r="Q44" s="39"/>
      <c r="R44" s="39"/>
      <c r="S44" s="39"/>
      <c r="T44" s="39"/>
      <c r="U44" s="39"/>
      <c r="V44" s="39"/>
      <c r="W44" s="39"/>
      <c r="X44" s="39"/>
      <c r="Y44" s="39"/>
      <c r="Z44" s="39"/>
      <c r="AA44" s="39"/>
    </row>
    <row r="45" spans="1:27" ht="356.25" hidden="1" outlineLevel="1">
      <c r="A45" s="335">
        <v>23</v>
      </c>
      <c r="B45" s="40" t="s">
        <v>145</v>
      </c>
      <c r="C45" s="40" t="s">
        <v>146</v>
      </c>
      <c r="D45" s="40" t="s">
        <v>147</v>
      </c>
      <c r="E45" s="40" t="s">
        <v>148</v>
      </c>
      <c r="F45" s="42" t="s">
        <v>56</v>
      </c>
      <c r="G45" s="331" t="s">
        <v>149</v>
      </c>
      <c r="H45" s="196"/>
      <c r="I45" s="289"/>
      <c r="J45" s="196"/>
      <c r="K45" s="481"/>
      <c r="L45" s="196" t="s">
        <v>1178</v>
      </c>
      <c r="M45" s="513" t="s">
        <v>1365</v>
      </c>
      <c r="N45" s="39"/>
      <c r="O45" s="39"/>
      <c r="P45" s="39"/>
      <c r="Q45" s="39"/>
      <c r="R45" s="39"/>
      <c r="S45" s="39"/>
      <c r="T45" s="39"/>
      <c r="U45" s="39"/>
      <c r="V45" s="39"/>
      <c r="W45" s="39"/>
      <c r="X45" s="39"/>
      <c r="Y45" s="39"/>
      <c r="Z45" s="39"/>
      <c r="AA45" s="39"/>
    </row>
    <row r="46" spans="1:27" ht="213.75" hidden="1" outlineLevel="1">
      <c r="A46" s="335">
        <v>24</v>
      </c>
      <c r="B46" s="40" t="s">
        <v>150</v>
      </c>
      <c r="C46" s="40" t="s">
        <v>151</v>
      </c>
      <c r="D46" s="40" t="s">
        <v>152</v>
      </c>
      <c r="E46" s="40" t="s">
        <v>153</v>
      </c>
      <c r="F46" s="42" t="s">
        <v>56</v>
      </c>
      <c r="G46" s="331" t="s">
        <v>154</v>
      </c>
      <c r="H46" s="196"/>
      <c r="I46" s="289"/>
      <c r="J46" s="196"/>
      <c r="K46" s="483"/>
      <c r="L46" s="196" t="s">
        <v>1182</v>
      </c>
      <c r="M46" s="512" t="s">
        <v>1314</v>
      </c>
      <c r="N46" s="39"/>
      <c r="O46" s="39"/>
      <c r="P46" s="39"/>
      <c r="Q46" s="39"/>
      <c r="R46" s="39"/>
      <c r="S46" s="39"/>
      <c r="T46" s="39"/>
      <c r="U46" s="39"/>
      <c r="V46" s="39"/>
      <c r="W46" s="39"/>
      <c r="X46" s="39"/>
      <c r="Y46" s="39"/>
      <c r="Z46" s="39"/>
      <c r="AA46" s="39"/>
    </row>
    <row r="47" spans="1:27" ht="185.25" hidden="1" outlineLevel="1">
      <c r="A47" s="336">
        <v>25</v>
      </c>
      <c r="B47" s="84" t="s">
        <v>155</v>
      </c>
      <c r="C47" s="84" t="s">
        <v>156</v>
      </c>
      <c r="D47" s="84" t="s">
        <v>157</v>
      </c>
      <c r="E47" s="84" t="s">
        <v>158</v>
      </c>
      <c r="F47" s="107" t="s">
        <v>56</v>
      </c>
      <c r="G47" s="332" t="s">
        <v>159</v>
      </c>
      <c r="H47" s="196"/>
      <c r="I47" s="289"/>
      <c r="J47" s="196"/>
      <c r="K47" s="483"/>
      <c r="L47" s="196" t="s">
        <v>1182</v>
      </c>
      <c r="M47" s="512" t="s">
        <v>1314</v>
      </c>
      <c r="N47" s="39"/>
      <c r="O47" s="39"/>
      <c r="P47" s="39"/>
      <c r="Q47" s="39"/>
      <c r="R47" s="39"/>
      <c r="S47" s="39"/>
      <c r="T47" s="39"/>
      <c r="U47" s="39"/>
      <c r="V47" s="39"/>
      <c r="W47" s="39"/>
      <c r="X47" s="39"/>
      <c r="Y47" s="39"/>
      <c r="Z47" s="39"/>
      <c r="AA47" s="39"/>
    </row>
    <row r="48" spans="1:27" ht="15" hidden="1" customHeight="1" collapsed="1">
      <c r="A48" s="261" t="s">
        <v>600</v>
      </c>
      <c r="B48" s="106"/>
      <c r="C48" s="106"/>
      <c r="D48" s="106"/>
      <c r="E48" s="106"/>
      <c r="F48" s="106"/>
      <c r="G48" s="224"/>
      <c r="H48" s="263"/>
      <c r="I48" s="224"/>
      <c r="J48" s="263"/>
      <c r="K48" s="106"/>
      <c r="L48" s="223"/>
      <c r="M48" s="437"/>
      <c r="N48" s="39"/>
      <c r="O48" s="39"/>
      <c r="P48" s="39"/>
      <c r="Q48" s="39"/>
      <c r="R48" s="39"/>
      <c r="S48" s="39"/>
      <c r="T48" s="39"/>
      <c r="U48" s="39"/>
      <c r="V48" s="39"/>
      <c r="W48" s="39"/>
      <c r="X48" s="39"/>
      <c r="Y48" s="39"/>
      <c r="Z48" s="39"/>
      <c r="AA48" s="39"/>
    </row>
    <row r="49" spans="1:27" hidden="1" outlineLevel="1">
      <c r="A49" s="257" t="s">
        <v>90</v>
      </c>
      <c r="B49" s="95"/>
      <c r="C49" s="98"/>
      <c r="D49" s="98"/>
      <c r="E49" s="98"/>
      <c r="F49" s="98"/>
      <c r="G49" s="195"/>
      <c r="H49" s="258"/>
      <c r="I49" s="195"/>
      <c r="J49" s="258"/>
      <c r="K49" s="98"/>
      <c r="L49" s="194"/>
      <c r="M49" s="433"/>
      <c r="N49" s="39"/>
      <c r="O49" s="39"/>
      <c r="P49" s="39"/>
      <c r="Q49" s="39"/>
      <c r="R49" s="39"/>
      <c r="S49" s="39"/>
      <c r="T49" s="39"/>
      <c r="U49" s="39"/>
      <c r="V49" s="39"/>
      <c r="W49" s="39"/>
      <c r="X49" s="39"/>
      <c r="Y49" s="39"/>
      <c r="Z49" s="39"/>
      <c r="AA49" s="39"/>
    </row>
    <row r="50" spans="1:27" ht="305.25" hidden="1" customHeight="1" outlineLevel="1">
      <c r="A50" s="337">
        <v>26</v>
      </c>
      <c r="B50" s="108" t="s">
        <v>166</v>
      </c>
      <c r="C50" s="108" t="s">
        <v>167</v>
      </c>
      <c r="D50" s="108" t="s">
        <v>168</v>
      </c>
      <c r="E50" s="108" t="s">
        <v>169</v>
      </c>
      <c r="F50" s="99" t="s">
        <v>1175</v>
      </c>
      <c r="G50" s="338" t="s">
        <v>170</v>
      </c>
      <c r="H50" s="196"/>
      <c r="I50" s="289"/>
      <c r="J50" s="196"/>
      <c r="K50" s="483"/>
      <c r="L50" s="196" t="s">
        <v>1182</v>
      </c>
      <c r="M50" s="512" t="s">
        <v>1314</v>
      </c>
      <c r="N50" s="39"/>
      <c r="O50" s="39"/>
      <c r="P50" s="39"/>
      <c r="Q50" s="39"/>
      <c r="R50" s="39"/>
      <c r="S50" s="39"/>
      <c r="T50" s="39"/>
      <c r="U50" s="39"/>
      <c r="V50" s="39"/>
      <c r="W50" s="39"/>
      <c r="X50" s="39"/>
      <c r="Y50" s="39"/>
      <c r="Z50" s="39"/>
      <c r="AA50" s="39"/>
    </row>
    <row r="51" spans="1:27" ht="15" hidden="1" customHeight="1" outlineLevel="1">
      <c r="A51" s="221" t="s">
        <v>160</v>
      </c>
      <c r="B51" s="110"/>
      <c r="C51" s="110"/>
      <c r="D51" s="110"/>
      <c r="E51" s="110"/>
      <c r="F51" s="110"/>
      <c r="G51" s="222"/>
      <c r="H51" s="221"/>
      <c r="I51" s="222"/>
      <c r="J51" s="221"/>
      <c r="K51" s="110"/>
      <c r="L51" s="194"/>
      <c r="M51" s="436"/>
      <c r="N51" s="39"/>
      <c r="O51" s="39"/>
      <c r="P51" s="39"/>
      <c r="Q51" s="39"/>
      <c r="R51" s="39"/>
      <c r="S51" s="39"/>
      <c r="T51" s="39"/>
      <c r="U51" s="39"/>
      <c r="V51" s="39"/>
      <c r="W51" s="39"/>
      <c r="X51" s="39"/>
      <c r="Y51" s="39"/>
      <c r="Z51" s="39"/>
      <c r="AA51" s="39"/>
    </row>
    <row r="52" spans="1:27" ht="114" hidden="1" outlineLevel="1">
      <c r="A52" s="328">
        <v>27</v>
      </c>
      <c r="B52" s="81" t="s">
        <v>161</v>
      </c>
      <c r="C52" s="81" t="s">
        <v>162</v>
      </c>
      <c r="D52" s="81" t="s">
        <v>163</v>
      </c>
      <c r="E52" s="81" t="s">
        <v>164</v>
      </c>
      <c r="F52" s="97" t="s">
        <v>1175</v>
      </c>
      <c r="G52" s="329" t="s">
        <v>165</v>
      </c>
      <c r="H52" s="196"/>
      <c r="I52" s="289"/>
      <c r="J52" s="196"/>
      <c r="K52" s="483"/>
      <c r="L52" s="196" t="s">
        <v>1182</v>
      </c>
      <c r="M52" s="512" t="s">
        <v>1314</v>
      </c>
      <c r="N52" s="39"/>
      <c r="O52" s="39"/>
      <c r="P52" s="39"/>
      <c r="Q52" s="39"/>
      <c r="R52" s="39"/>
      <c r="S52" s="39"/>
      <c r="T52" s="39"/>
      <c r="U52" s="39"/>
      <c r="V52" s="39"/>
      <c r="W52" s="39"/>
      <c r="X52" s="39"/>
      <c r="Y52" s="39"/>
      <c r="Z52" s="39"/>
      <c r="AA52" s="39"/>
    </row>
    <row r="53" spans="1:27" ht="285" hidden="1" outlineLevel="1">
      <c r="A53" s="335">
        <v>28</v>
      </c>
      <c r="B53" s="40" t="s">
        <v>171</v>
      </c>
      <c r="C53" s="40" t="s">
        <v>172</v>
      </c>
      <c r="D53" s="40" t="s">
        <v>173</v>
      </c>
      <c r="E53" s="40" t="s">
        <v>174</v>
      </c>
      <c r="F53" s="45" t="s">
        <v>1175</v>
      </c>
      <c r="G53" s="331" t="s">
        <v>175</v>
      </c>
      <c r="H53" s="196"/>
      <c r="I53" s="289"/>
      <c r="J53" s="196"/>
      <c r="K53" s="483"/>
      <c r="L53" s="196" t="s">
        <v>1182</v>
      </c>
      <c r="M53" s="512" t="s">
        <v>1314</v>
      </c>
      <c r="N53" s="39"/>
      <c r="O53" s="39"/>
      <c r="P53" s="39"/>
      <c r="Q53" s="39"/>
      <c r="R53" s="39"/>
      <c r="S53" s="39"/>
      <c r="T53" s="39"/>
      <c r="U53" s="39"/>
      <c r="V53" s="39"/>
      <c r="W53" s="39"/>
      <c r="X53" s="39"/>
      <c r="Y53" s="39"/>
      <c r="Z53" s="39"/>
      <c r="AA53" s="39"/>
    </row>
    <row r="54" spans="1:27" ht="185.25" hidden="1" outlineLevel="1">
      <c r="A54" s="336">
        <v>29</v>
      </c>
      <c r="B54" s="84" t="s">
        <v>176</v>
      </c>
      <c r="C54" s="84" t="s">
        <v>177</v>
      </c>
      <c r="D54" s="84" t="s">
        <v>178</v>
      </c>
      <c r="E54" s="84" t="s">
        <v>179</v>
      </c>
      <c r="F54" s="107" t="s">
        <v>56</v>
      </c>
      <c r="G54" s="332" t="s">
        <v>180</v>
      </c>
      <c r="H54" s="196"/>
      <c r="I54" s="289"/>
      <c r="J54" s="196"/>
      <c r="K54" s="483"/>
      <c r="L54" s="196" t="s">
        <v>1182</v>
      </c>
      <c r="M54" s="512" t="s">
        <v>1314</v>
      </c>
      <c r="N54" s="39"/>
      <c r="O54" s="39"/>
      <c r="P54" s="39"/>
      <c r="Q54" s="39"/>
      <c r="R54" s="39"/>
      <c r="S54" s="39"/>
      <c r="T54" s="39"/>
      <c r="U54" s="39"/>
      <c r="V54" s="39"/>
      <c r="W54" s="39"/>
      <c r="X54" s="39"/>
      <c r="Y54" s="39"/>
      <c r="Z54" s="39"/>
      <c r="AA54" s="39"/>
    </row>
    <row r="55" spans="1:27" ht="15" hidden="1" customHeight="1" collapsed="1">
      <c r="A55" s="261" t="s">
        <v>601</v>
      </c>
      <c r="B55" s="103"/>
      <c r="C55" s="103"/>
      <c r="D55" s="103"/>
      <c r="E55" s="103"/>
      <c r="F55" s="103"/>
      <c r="G55" s="228"/>
      <c r="H55" s="264"/>
      <c r="I55" s="228"/>
      <c r="J55" s="264"/>
      <c r="K55" s="103"/>
      <c r="L55" s="227"/>
      <c r="M55" s="438"/>
      <c r="N55" s="39"/>
      <c r="O55" s="39"/>
      <c r="P55" s="39"/>
      <c r="Q55" s="39"/>
      <c r="R55" s="39"/>
      <c r="S55" s="39"/>
      <c r="T55" s="39"/>
      <c r="U55" s="39"/>
      <c r="V55" s="39"/>
      <c r="W55" s="39"/>
      <c r="X55" s="39"/>
      <c r="Y55" s="39"/>
      <c r="Z55" s="39"/>
      <c r="AA55" s="39"/>
    </row>
    <row r="56" spans="1:27" hidden="1" outlineLevel="1">
      <c r="A56" s="258" t="s">
        <v>90</v>
      </c>
      <c r="B56" s="98"/>
      <c r="C56" s="98"/>
      <c r="D56" s="98"/>
      <c r="E56" s="98"/>
      <c r="F56" s="98"/>
      <c r="G56" s="195"/>
      <c r="H56" s="258"/>
      <c r="I56" s="195"/>
      <c r="J56" s="258"/>
      <c r="K56" s="98"/>
      <c r="L56" s="194"/>
      <c r="M56" s="433"/>
      <c r="N56" s="39"/>
      <c r="O56" s="39"/>
      <c r="P56" s="39"/>
      <c r="Q56" s="39"/>
      <c r="R56" s="39"/>
      <c r="S56" s="39"/>
      <c r="T56" s="39"/>
      <c r="U56" s="39"/>
      <c r="V56" s="39"/>
      <c r="W56" s="39"/>
      <c r="X56" s="39"/>
      <c r="Y56" s="39"/>
      <c r="Z56" s="39"/>
      <c r="AA56" s="39"/>
    </row>
    <row r="57" spans="1:27" ht="409.5" hidden="1" outlineLevel="1">
      <c r="A57" s="339">
        <v>32</v>
      </c>
      <c r="B57" s="81" t="s">
        <v>181</v>
      </c>
      <c r="C57" s="81" t="s">
        <v>182</v>
      </c>
      <c r="D57" s="81" t="s">
        <v>183</v>
      </c>
      <c r="E57" s="81" t="s">
        <v>184</v>
      </c>
      <c r="F57" s="97" t="s">
        <v>1175</v>
      </c>
      <c r="G57" s="329" t="s">
        <v>185</v>
      </c>
      <c r="H57" s="196"/>
      <c r="I57" s="289"/>
      <c r="J57" s="196"/>
      <c r="K57" s="485"/>
      <c r="L57" s="196" t="s">
        <v>1178</v>
      </c>
      <c r="M57" s="513" t="s">
        <v>1324</v>
      </c>
      <c r="N57" s="39"/>
      <c r="O57" s="39"/>
      <c r="P57" s="39"/>
      <c r="Q57" s="39"/>
      <c r="R57" s="39"/>
      <c r="S57" s="39"/>
      <c r="T57" s="39"/>
      <c r="U57" s="39"/>
      <c r="V57" s="39"/>
      <c r="W57" s="39"/>
      <c r="X57" s="39"/>
      <c r="Y57" s="39"/>
      <c r="Z57" s="39"/>
      <c r="AA57" s="39"/>
    </row>
    <row r="58" spans="1:27" ht="409.5" hidden="1" outlineLevel="1">
      <c r="A58" s="335">
        <v>33</v>
      </c>
      <c r="B58" s="40" t="s">
        <v>186</v>
      </c>
      <c r="C58" s="40" t="s">
        <v>187</v>
      </c>
      <c r="D58" s="40" t="s">
        <v>188</v>
      </c>
      <c r="E58" s="40" t="s">
        <v>189</v>
      </c>
      <c r="F58" s="45" t="s">
        <v>1175</v>
      </c>
      <c r="G58" s="331" t="s">
        <v>190</v>
      </c>
      <c r="H58" s="196"/>
      <c r="I58" s="289"/>
      <c r="J58" s="196"/>
      <c r="K58" s="481"/>
      <c r="L58" s="196" t="s">
        <v>1178</v>
      </c>
      <c r="M58" s="514" t="s">
        <v>1324</v>
      </c>
      <c r="N58" s="39"/>
      <c r="O58" s="39"/>
      <c r="P58" s="39"/>
      <c r="Q58" s="39"/>
      <c r="R58" s="39"/>
      <c r="S58" s="39"/>
      <c r="T58" s="39"/>
      <c r="U58" s="39"/>
      <c r="V58" s="39"/>
      <c r="W58" s="39"/>
      <c r="X58" s="39"/>
      <c r="Y58" s="39"/>
      <c r="Z58" s="39"/>
      <c r="AA58" s="39"/>
    </row>
    <row r="59" spans="1:27" ht="185.25" hidden="1" outlineLevel="1">
      <c r="A59" s="335">
        <v>34</v>
      </c>
      <c r="B59" s="40" t="s">
        <v>191</v>
      </c>
      <c r="C59" s="40" t="s">
        <v>192</v>
      </c>
      <c r="D59" s="40" t="s">
        <v>193</v>
      </c>
      <c r="E59" s="40" t="s">
        <v>194</v>
      </c>
      <c r="F59" s="45" t="s">
        <v>1175</v>
      </c>
      <c r="G59" s="331" t="s">
        <v>195</v>
      </c>
      <c r="H59" s="196"/>
      <c r="I59" s="289"/>
      <c r="J59" s="196"/>
      <c r="K59" s="481"/>
      <c r="L59" s="196" t="s">
        <v>1178</v>
      </c>
      <c r="M59" s="514" t="s">
        <v>1324</v>
      </c>
      <c r="N59" s="39"/>
      <c r="O59" s="39"/>
      <c r="P59" s="39"/>
      <c r="Q59" s="39"/>
      <c r="R59" s="39"/>
      <c r="S59" s="39"/>
      <c r="T59" s="39"/>
      <c r="U59" s="39"/>
      <c r="V59" s="39"/>
      <c r="W59" s="39"/>
      <c r="X59" s="39"/>
      <c r="Y59" s="39"/>
      <c r="Z59" s="39"/>
      <c r="AA59" s="39"/>
    </row>
    <row r="60" spans="1:27" ht="185.25" hidden="1" outlineLevel="1">
      <c r="A60" s="335">
        <v>35</v>
      </c>
      <c r="B60" s="40" t="s">
        <v>196</v>
      </c>
      <c r="C60" s="40" t="s">
        <v>197</v>
      </c>
      <c r="D60" s="40" t="s">
        <v>198</v>
      </c>
      <c r="E60" s="40" t="s">
        <v>199</v>
      </c>
      <c r="F60" s="42" t="s">
        <v>56</v>
      </c>
      <c r="G60" s="331" t="s">
        <v>200</v>
      </c>
      <c r="H60" s="196"/>
      <c r="I60" s="289"/>
      <c r="J60" s="196"/>
      <c r="K60" s="481"/>
      <c r="L60" s="196" t="s">
        <v>1178</v>
      </c>
      <c r="M60" s="514" t="s">
        <v>1324</v>
      </c>
      <c r="N60" s="39"/>
      <c r="O60" s="39"/>
      <c r="P60" s="39"/>
      <c r="Q60" s="39"/>
      <c r="R60" s="39"/>
      <c r="S60" s="39"/>
      <c r="T60" s="39"/>
      <c r="U60" s="39"/>
      <c r="V60" s="39"/>
      <c r="W60" s="39"/>
      <c r="X60" s="39"/>
      <c r="Y60" s="39"/>
      <c r="Z60" s="39"/>
      <c r="AA60" s="39"/>
    </row>
    <row r="61" spans="1:27" ht="228" hidden="1" outlineLevel="1">
      <c r="A61" s="335">
        <v>36</v>
      </c>
      <c r="B61" s="40" t="s">
        <v>201</v>
      </c>
      <c r="C61" s="40" t="s">
        <v>202</v>
      </c>
      <c r="D61" s="40" t="s">
        <v>203</v>
      </c>
      <c r="E61" s="40" t="s">
        <v>204</v>
      </c>
      <c r="F61" s="42" t="s">
        <v>56</v>
      </c>
      <c r="G61" s="331" t="s">
        <v>205</v>
      </c>
      <c r="H61" s="196"/>
      <c r="I61" s="289"/>
      <c r="J61" s="196"/>
      <c r="K61" s="481"/>
      <c r="L61" s="196" t="s">
        <v>1178</v>
      </c>
      <c r="M61" s="514" t="s">
        <v>1324</v>
      </c>
      <c r="N61" s="39"/>
      <c r="O61" s="39"/>
      <c r="P61" s="39"/>
      <c r="Q61" s="39"/>
      <c r="R61" s="39"/>
      <c r="S61" s="39"/>
      <c r="T61" s="39"/>
      <c r="U61" s="39"/>
      <c r="V61" s="39"/>
      <c r="W61" s="39"/>
      <c r="X61" s="39"/>
      <c r="Y61" s="39"/>
      <c r="Z61" s="39"/>
      <c r="AA61" s="39"/>
    </row>
    <row r="62" spans="1:27" hidden="1" outlineLevel="1">
      <c r="A62" s="340" t="s">
        <v>88</v>
      </c>
      <c r="B62" s="176"/>
      <c r="C62" s="176"/>
      <c r="D62" s="176"/>
      <c r="E62" s="176"/>
      <c r="F62" s="176"/>
      <c r="G62" s="341"/>
      <c r="H62" s="290"/>
      <c r="I62" s="291"/>
      <c r="J62" s="265"/>
      <c r="K62" s="486"/>
      <c r="L62" s="229"/>
      <c r="M62" s="439"/>
      <c r="N62" s="39"/>
      <c r="O62" s="39"/>
      <c r="P62" s="39"/>
      <c r="Q62" s="39"/>
      <c r="R62" s="39"/>
      <c r="S62" s="39"/>
      <c r="T62" s="39"/>
      <c r="U62" s="39"/>
      <c r="V62" s="39"/>
      <c r="W62" s="39"/>
      <c r="X62" s="39"/>
      <c r="Y62" s="39"/>
      <c r="Z62" s="39"/>
      <c r="AA62" s="39"/>
    </row>
    <row r="63" spans="1:27" ht="409.5" hidden="1" outlineLevel="1">
      <c r="A63" s="335">
        <v>37</v>
      </c>
      <c r="B63" s="40" t="s">
        <v>206</v>
      </c>
      <c r="C63" s="40" t="s">
        <v>207</v>
      </c>
      <c r="D63" s="40" t="s">
        <v>1165</v>
      </c>
      <c r="E63" s="40" t="s">
        <v>208</v>
      </c>
      <c r="F63" s="45" t="s">
        <v>1175</v>
      </c>
      <c r="G63" s="331" t="s">
        <v>209</v>
      </c>
      <c r="H63" s="196"/>
      <c r="I63" s="289"/>
      <c r="J63" s="196"/>
      <c r="K63" s="481"/>
      <c r="L63" s="196" t="s">
        <v>1178</v>
      </c>
      <c r="M63" s="514" t="s">
        <v>1324</v>
      </c>
      <c r="N63" s="39"/>
      <c r="O63" s="39"/>
      <c r="P63" s="39"/>
      <c r="Q63" s="39"/>
      <c r="R63" s="39"/>
      <c r="S63" s="39"/>
      <c r="T63" s="39"/>
      <c r="U63" s="39"/>
      <c r="V63" s="39"/>
      <c r="W63" s="39"/>
      <c r="X63" s="39"/>
      <c r="Y63" s="39"/>
      <c r="Z63" s="39"/>
      <c r="AA63" s="39"/>
    </row>
    <row r="64" spans="1:27" ht="409.5" hidden="1" outlineLevel="1">
      <c r="A64" s="335">
        <v>38</v>
      </c>
      <c r="B64" s="40" t="s">
        <v>210</v>
      </c>
      <c r="C64" s="40" t="s">
        <v>211</v>
      </c>
      <c r="D64" s="40" t="s">
        <v>212</v>
      </c>
      <c r="E64" s="40" t="s">
        <v>213</v>
      </c>
      <c r="F64" s="42" t="s">
        <v>56</v>
      </c>
      <c r="G64" s="331" t="s">
        <v>214</v>
      </c>
      <c r="H64" s="196"/>
      <c r="I64" s="289"/>
      <c r="J64" s="196"/>
      <c r="K64" s="481"/>
      <c r="L64" s="196" t="s">
        <v>1178</v>
      </c>
      <c r="M64" s="514" t="s">
        <v>1324</v>
      </c>
      <c r="N64" s="39"/>
      <c r="O64" s="39"/>
      <c r="P64" s="39"/>
      <c r="Q64" s="39"/>
      <c r="R64" s="39"/>
      <c r="S64" s="39"/>
      <c r="T64" s="39"/>
      <c r="U64" s="39"/>
      <c r="V64" s="39"/>
      <c r="W64" s="39"/>
      <c r="X64" s="39"/>
      <c r="Y64" s="39"/>
      <c r="Z64" s="39"/>
      <c r="AA64" s="39"/>
    </row>
    <row r="65" spans="1:27" ht="213.75" hidden="1" outlineLevel="1">
      <c r="A65" s="335">
        <v>39</v>
      </c>
      <c r="B65" s="40" t="s">
        <v>215</v>
      </c>
      <c r="C65" s="40" t="s">
        <v>216</v>
      </c>
      <c r="D65" s="40" t="s">
        <v>217</v>
      </c>
      <c r="E65" s="40" t="s">
        <v>218</v>
      </c>
      <c r="F65" s="42" t="s">
        <v>56</v>
      </c>
      <c r="G65" s="331" t="s">
        <v>219</v>
      </c>
      <c r="H65" s="196"/>
      <c r="I65" s="289"/>
      <c r="J65" s="196"/>
      <c r="K65" s="481"/>
      <c r="L65" s="196" t="s">
        <v>1178</v>
      </c>
      <c r="M65" s="514" t="s">
        <v>1324</v>
      </c>
      <c r="N65" s="39"/>
      <c r="O65" s="39"/>
      <c r="P65" s="39"/>
      <c r="Q65" s="39"/>
      <c r="R65" s="39"/>
      <c r="S65" s="39"/>
      <c r="T65" s="39"/>
      <c r="U65" s="39"/>
      <c r="V65" s="39"/>
      <c r="W65" s="39"/>
      <c r="X65" s="39"/>
      <c r="Y65" s="39"/>
      <c r="Z65" s="39"/>
      <c r="AA65" s="39"/>
    </row>
    <row r="66" spans="1:27" ht="213.75" hidden="1" outlineLevel="1">
      <c r="A66" s="335">
        <v>40</v>
      </c>
      <c r="B66" s="40" t="s">
        <v>220</v>
      </c>
      <c r="C66" s="40" t="s">
        <v>221</v>
      </c>
      <c r="D66" s="40" t="s">
        <v>222</v>
      </c>
      <c r="E66" s="40" t="s">
        <v>223</v>
      </c>
      <c r="F66" s="42" t="s">
        <v>56</v>
      </c>
      <c r="G66" s="331" t="s">
        <v>224</v>
      </c>
      <c r="H66" s="196"/>
      <c r="I66" s="289"/>
      <c r="J66" s="196"/>
      <c r="K66" s="481"/>
      <c r="L66" s="196" t="s">
        <v>1178</v>
      </c>
      <c r="M66" s="514" t="s">
        <v>1324</v>
      </c>
      <c r="N66" s="39"/>
      <c r="O66" s="39"/>
      <c r="P66" s="39"/>
      <c r="Q66" s="39"/>
      <c r="R66" s="39"/>
      <c r="S66" s="39"/>
      <c r="T66" s="39"/>
      <c r="U66" s="39"/>
      <c r="V66" s="39"/>
      <c r="W66" s="39"/>
      <c r="X66" s="39"/>
      <c r="Y66" s="39"/>
      <c r="Z66" s="39"/>
      <c r="AA66" s="39"/>
    </row>
    <row r="67" spans="1:27" ht="370.5" hidden="1" outlineLevel="1">
      <c r="A67" s="342">
        <v>41</v>
      </c>
      <c r="B67" s="154" t="s">
        <v>225</v>
      </c>
      <c r="C67" s="154" t="s">
        <v>226</v>
      </c>
      <c r="D67" s="154" t="s">
        <v>227</v>
      </c>
      <c r="E67" s="154" t="s">
        <v>228</v>
      </c>
      <c r="F67" s="155" t="s">
        <v>56</v>
      </c>
      <c r="G67" s="343" t="s">
        <v>229</v>
      </c>
      <c r="H67" s="196"/>
      <c r="I67" s="289"/>
      <c r="J67" s="196"/>
      <c r="K67" s="481"/>
      <c r="L67" s="196" t="s">
        <v>1178</v>
      </c>
      <c r="M67" s="514" t="s">
        <v>1324</v>
      </c>
      <c r="N67" s="39"/>
      <c r="O67" s="39"/>
      <c r="P67" s="39"/>
      <c r="Q67" s="39"/>
      <c r="R67" s="39"/>
      <c r="S67" s="39"/>
      <c r="T67" s="39"/>
      <c r="U67" s="39"/>
      <c r="V67" s="39"/>
      <c r="W67" s="39"/>
      <c r="X67" s="39"/>
      <c r="Y67" s="39"/>
      <c r="Z67" s="39"/>
      <c r="AA67" s="39"/>
    </row>
    <row r="68" spans="1:27" ht="15" hidden="1" customHeight="1" collapsed="1">
      <c r="A68" s="261" t="s">
        <v>612</v>
      </c>
      <c r="B68" s="177"/>
      <c r="C68" s="177"/>
      <c r="D68" s="177"/>
      <c r="E68" s="177"/>
      <c r="F68" s="177"/>
      <c r="G68" s="344"/>
      <c r="H68" s="292"/>
      <c r="I68" s="293"/>
      <c r="J68" s="266"/>
      <c r="K68" s="487"/>
      <c r="L68" s="230"/>
      <c r="M68" s="440"/>
      <c r="N68" s="39"/>
      <c r="O68" s="39"/>
      <c r="P68" s="39"/>
      <c r="Q68" s="39"/>
      <c r="R68" s="39"/>
      <c r="S68" s="39"/>
      <c r="T68" s="39"/>
      <c r="U68" s="39"/>
      <c r="V68" s="39"/>
      <c r="W68" s="39"/>
      <c r="X68" s="39"/>
      <c r="Y68" s="39"/>
      <c r="Z68" s="39"/>
      <c r="AA68" s="39"/>
    </row>
    <row r="69" spans="1:27" hidden="1" outlineLevel="1">
      <c r="A69" s="345" t="s">
        <v>88</v>
      </c>
      <c r="B69" s="178"/>
      <c r="C69" s="178"/>
      <c r="D69" s="178"/>
      <c r="E69" s="178"/>
      <c r="F69" s="178"/>
      <c r="G69" s="346"/>
      <c r="H69" s="294"/>
      <c r="I69" s="295"/>
      <c r="J69" s="267"/>
      <c r="K69" s="488"/>
      <c r="L69" s="232"/>
      <c r="M69" s="441"/>
      <c r="N69" s="39"/>
      <c r="O69" s="39"/>
      <c r="P69" s="39"/>
      <c r="Q69" s="39"/>
      <c r="R69" s="39"/>
      <c r="S69" s="39"/>
      <c r="T69" s="39"/>
      <c r="U69" s="39"/>
      <c r="V69" s="39"/>
      <c r="W69" s="39"/>
      <c r="X69" s="39"/>
      <c r="Y69" s="39"/>
      <c r="Z69" s="39"/>
      <c r="AA69" s="39"/>
    </row>
    <row r="70" spans="1:27" ht="152.25" hidden="1" customHeight="1" outlineLevel="1">
      <c r="A70" s="325">
        <v>42</v>
      </c>
      <c r="B70" s="32" t="s">
        <v>47</v>
      </c>
      <c r="C70" s="32" t="s">
        <v>48</v>
      </c>
      <c r="D70" s="32" t="s">
        <v>613</v>
      </c>
      <c r="E70" s="33" t="s">
        <v>49</v>
      </c>
      <c r="F70" s="41" t="s">
        <v>46</v>
      </c>
      <c r="G70" s="326" t="s">
        <v>50</v>
      </c>
      <c r="H70" s="196"/>
      <c r="I70" s="289"/>
      <c r="J70" s="196"/>
      <c r="K70" s="481"/>
      <c r="L70" s="196" t="s">
        <v>1178</v>
      </c>
      <c r="M70" s="514" t="s">
        <v>1324</v>
      </c>
      <c r="N70" s="37"/>
      <c r="O70" s="37"/>
      <c r="P70" s="37"/>
      <c r="Q70" s="37"/>
      <c r="R70" s="37"/>
      <c r="S70" s="37"/>
      <c r="T70" s="37"/>
      <c r="U70" s="37"/>
      <c r="V70" s="37"/>
      <c r="W70" s="37"/>
      <c r="X70" s="37"/>
      <c r="Y70" s="37"/>
      <c r="Z70" s="37"/>
      <c r="AA70" s="39"/>
    </row>
    <row r="71" spans="1:27" ht="152.25" hidden="1" customHeight="1" outlineLevel="1">
      <c r="A71" s="325">
        <v>43</v>
      </c>
      <c r="B71" s="32" t="s">
        <v>51</v>
      </c>
      <c r="C71" s="32" t="s">
        <v>52</v>
      </c>
      <c r="D71" s="32" t="s">
        <v>53</v>
      </c>
      <c r="E71" s="33" t="s">
        <v>49</v>
      </c>
      <c r="F71" s="41" t="s">
        <v>46</v>
      </c>
      <c r="G71" s="326" t="s">
        <v>54</v>
      </c>
      <c r="H71" s="196"/>
      <c r="I71" s="289"/>
      <c r="J71" s="196"/>
      <c r="K71" s="481"/>
      <c r="L71" s="196" t="s">
        <v>1178</v>
      </c>
      <c r="M71" s="514" t="s">
        <v>1324</v>
      </c>
      <c r="N71" s="37"/>
      <c r="O71" s="37"/>
      <c r="P71" s="37"/>
      <c r="Q71" s="37"/>
      <c r="R71" s="37"/>
      <c r="S71" s="37"/>
      <c r="T71" s="37"/>
      <c r="U71" s="37"/>
      <c r="V71" s="37"/>
      <c r="W71" s="37"/>
      <c r="X71" s="37"/>
      <c r="Y71" s="37"/>
      <c r="Z71" s="37"/>
      <c r="AA71" s="39"/>
    </row>
    <row r="72" spans="1:27" ht="170.25" hidden="1" customHeight="1" outlineLevel="1">
      <c r="A72" s="325">
        <v>44</v>
      </c>
      <c r="B72" s="32" t="s">
        <v>55</v>
      </c>
      <c r="C72" s="32" t="s">
        <v>614</v>
      </c>
      <c r="D72" s="32" t="s">
        <v>615</v>
      </c>
      <c r="E72" s="33" t="s">
        <v>616</v>
      </c>
      <c r="F72" s="42" t="s">
        <v>56</v>
      </c>
      <c r="G72" s="326" t="s">
        <v>57</v>
      </c>
      <c r="H72" s="196"/>
      <c r="I72" s="289"/>
      <c r="J72" s="196"/>
      <c r="K72" s="481"/>
      <c r="L72" s="196" t="s">
        <v>1178</v>
      </c>
      <c r="M72" s="514" t="s">
        <v>1324</v>
      </c>
      <c r="N72" s="37"/>
      <c r="O72" s="37"/>
      <c r="P72" s="37"/>
      <c r="Q72" s="37"/>
      <c r="R72" s="37"/>
      <c r="S72" s="37"/>
      <c r="T72" s="37"/>
      <c r="U72" s="37"/>
      <c r="V72" s="37"/>
      <c r="W72" s="37"/>
      <c r="X72" s="37"/>
      <c r="Y72" s="37"/>
      <c r="Z72" s="37"/>
      <c r="AA72" s="39"/>
    </row>
    <row r="73" spans="1:27" ht="159" hidden="1" customHeight="1" outlineLevel="1">
      <c r="A73" s="325">
        <v>45</v>
      </c>
      <c r="B73" s="32" t="s">
        <v>47</v>
      </c>
      <c r="C73" s="32" t="s">
        <v>617</v>
      </c>
      <c r="D73" s="32" t="s">
        <v>618</v>
      </c>
      <c r="E73" s="33" t="s">
        <v>49</v>
      </c>
      <c r="F73" s="42" t="s">
        <v>56</v>
      </c>
      <c r="G73" s="326" t="s">
        <v>58</v>
      </c>
      <c r="H73" s="196"/>
      <c r="I73" s="289"/>
      <c r="J73" s="196"/>
      <c r="K73" s="481"/>
      <c r="L73" s="196" t="s">
        <v>1178</v>
      </c>
      <c r="M73" s="514" t="s">
        <v>1324</v>
      </c>
      <c r="N73" s="37"/>
      <c r="O73" s="37"/>
      <c r="P73" s="37"/>
      <c r="Q73" s="37"/>
      <c r="R73" s="37"/>
      <c r="S73" s="37"/>
      <c r="T73" s="37"/>
      <c r="U73" s="37"/>
      <c r="V73" s="37"/>
      <c r="W73" s="37"/>
      <c r="X73" s="37"/>
      <c r="Y73" s="37"/>
      <c r="Z73" s="37"/>
      <c r="AA73" s="39"/>
    </row>
    <row r="74" spans="1:27" ht="159" hidden="1" customHeight="1" outlineLevel="1">
      <c r="A74" s="325">
        <v>46</v>
      </c>
      <c r="B74" s="32" t="s">
        <v>59</v>
      </c>
      <c r="C74" s="32" t="s">
        <v>60</v>
      </c>
      <c r="D74" s="32" t="s">
        <v>61</v>
      </c>
      <c r="E74" s="33" t="s">
        <v>49</v>
      </c>
      <c r="F74" s="42" t="s">
        <v>56</v>
      </c>
      <c r="G74" s="326" t="s">
        <v>62</v>
      </c>
      <c r="H74" s="196"/>
      <c r="I74" s="289"/>
      <c r="J74" s="196"/>
      <c r="K74" s="481"/>
      <c r="L74" s="196" t="s">
        <v>1178</v>
      </c>
      <c r="M74" s="514" t="s">
        <v>1324</v>
      </c>
      <c r="N74" s="37"/>
      <c r="O74" s="37"/>
      <c r="P74" s="37"/>
      <c r="Q74" s="37"/>
      <c r="R74" s="37"/>
      <c r="S74" s="37"/>
      <c r="T74" s="37"/>
      <c r="U74" s="37"/>
      <c r="V74" s="37"/>
      <c r="W74" s="37"/>
      <c r="X74" s="37"/>
      <c r="Y74" s="37"/>
      <c r="Z74" s="37"/>
      <c r="AA74" s="39"/>
    </row>
    <row r="75" spans="1:27" ht="182.25" hidden="1" customHeight="1" outlineLevel="1">
      <c r="A75" s="325">
        <v>47</v>
      </c>
      <c r="B75" s="32" t="s">
        <v>63</v>
      </c>
      <c r="C75" s="32" t="s">
        <v>619</v>
      </c>
      <c r="D75" s="32" t="s">
        <v>64</v>
      </c>
      <c r="E75" s="33" t="s">
        <v>620</v>
      </c>
      <c r="F75" s="42" t="s">
        <v>56</v>
      </c>
      <c r="G75" s="326" t="s">
        <v>621</v>
      </c>
      <c r="H75" s="196"/>
      <c r="I75" s="289"/>
      <c r="J75" s="196"/>
      <c r="K75" s="481"/>
      <c r="L75" s="196" t="s">
        <v>1178</v>
      </c>
      <c r="M75" s="514" t="s">
        <v>1324</v>
      </c>
      <c r="N75" s="37"/>
      <c r="O75" s="37"/>
      <c r="P75" s="37"/>
      <c r="Q75" s="37"/>
      <c r="R75" s="37"/>
      <c r="S75" s="37"/>
      <c r="T75" s="37"/>
      <c r="U75" s="37"/>
      <c r="V75" s="37"/>
      <c r="W75" s="37"/>
      <c r="X75" s="37"/>
      <c r="Y75" s="37"/>
      <c r="Z75" s="37"/>
      <c r="AA75" s="39"/>
    </row>
    <row r="76" spans="1:27" ht="159" hidden="1" customHeight="1" outlineLevel="1">
      <c r="A76" s="325">
        <v>48</v>
      </c>
      <c r="B76" s="32" t="s">
        <v>65</v>
      </c>
      <c r="C76" s="32" t="s">
        <v>66</v>
      </c>
      <c r="D76" s="32" t="s">
        <v>622</v>
      </c>
      <c r="E76" s="33" t="s">
        <v>623</v>
      </c>
      <c r="F76" s="42" t="s">
        <v>56</v>
      </c>
      <c r="G76" s="326" t="s">
        <v>67</v>
      </c>
      <c r="H76" s="196"/>
      <c r="I76" s="289"/>
      <c r="J76" s="196"/>
      <c r="K76" s="481"/>
      <c r="L76" s="196" t="s">
        <v>1178</v>
      </c>
      <c r="M76" s="514" t="s">
        <v>1324</v>
      </c>
      <c r="N76" s="37"/>
      <c r="O76" s="37"/>
      <c r="P76" s="37"/>
      <c r="Q76" s="37"/>
      <c r="R76" s="37"/>
      <c r="S76" s="37"/>
      <c r="T76" s="37"/>
      <c r="U76" s="37"/>
      <c r="V76" s="37"/>
      <c r="W76" s="37"/>
      <c r="X76" s="37"/>
      <c r="Y76" s="37"/>
      <c r="Z76" s="37"/>
      <c r="AA76" s="39"/>
    </row>
    <row r="77" spans="1:27" ht="159" hidden="1" customHeight="1" outlineLevel="1">
      <c r="A77" s="325">
        <v>49</v>
      </c>
      <c r="B77" s="32" t="s">
        <v>68</v>
      </c>
      <c r="C77" s="32" t="s">
        <v>69</v>
      </c>
      <c r="D77" s="32" t="s">
        <v>70</v>
      </c>
      <c r="E77" s="33" t="s">
        <v>624</v>
      </c>
      <c r="F77" s="42" t="s">
        <v>56</v>
      </c>
      <c r="G77" s="326" t="s">
        <v>71</v>
      </c>
      <c r="H77" s="196"/>
      <c r="I77" s="289"/>
      <c r="J77" s="196"/>
      <c r="K77" s="481"/>
      <c r="L77" s="196" t="s">
        <v>1178</v>
      </c>
      <c r="M77" s="514" t="s">
        <v>1324</v>
      </c>
      <c r="N77" s="37"/>
      <c r="O77" s="37"/>
      <c r="P77" s="37"/>
      <c r="Q77" s="37"/>
      <c r="R77" s="37"/>
      <c r="S77" s="37"/>
      <c r="T77" s="37"/>
      <c r="U77" s="37"/>
      <c r="V77" s="37"/>
      <c r="W77" s="37"/>
      <c r="X77" s="37"/>
      <c r="Y77" s="37"/>
      <c r="Z77" s="37"/>
      <c r="AA77" s="39"/>
    </row>
    <row r="78" spans="1:27" ht="159" hidden="1" customHeight="1" outlineLevel="1">
      <c r="A78" s="325">
        <v>50</v>
      </c>
      <c r="B78" s="32" t="s">
        <v>72</v>
      </c>
      <c r="C78" s="32" t="s">
        <v>73</v>
      </c>
      <c r="D78" s="32" t="s">
        <v>74</v>
      </c>
      <c r="E78" s="33" t="s">
        <v>625</v>
      </c>
      <c r="F78" s="42" t="s">
        <v>56</v>
      </c>
      <c r="G78" s="326" t="s">
        <v>71</v>
      </c>
      <c r="H78" s="196"/>
      <c r="I78" s="289"/>
      <c r="J78" s="196"/>
      <c r="K78" s="481"/>
      <c r="L78" s="196" t="s">
        <v>1178</v>
      </c>
      <c r="M78" s="514" t="s">
        <v>1324</v>
      </c>
      <c r="N78" s="37"/>
      <c r="O78" s="37"/>
      <c r="P78" s="37"/>
      <c r="Q78" s="37"/>
      <c r="R78" s="37"/>
      <c r="S78" s="37"/>
      <c r="T78" s="37"/>
      <c r="U78" s="37"/>
      <c r="V78" s="37"/>
      <c r="W78" s="37"/>
      <c r="X78" s="37"/>
      <c r="Y78" s="37"/>
      <c r="Z78" s="37"/>
      <c r="AA78" s="39"/>
    </row>
    <row r="79" spans="1:27" ht="159" hidden="1" customHeight="1" outlineLevel="1">
      <c r="A79" s="325">
        <v>51</v>
      </c>
      <c r="B79" s="32" t="s">
        <v>75</v>
      </c>
      <c r="C79" s="32" t="s">
        <v>76</v>
      </c>
      <c r="D79" s="32" t="s">
        <v>626</v>
      </c>
      <c r="E79" s="33" t="s">
        <v>627</v>
      </c>
      <c r="F79" s="42" t="s">
        <v>56</v>
      </c>
      <c r="G79" s="326" t="s">
        <v>71</v>
      </c>
      <c r="H79" s="196"/>
      <c r="I79" s="289"/>
      <c r="J79" s="196"/>
      <c r="K79" s="481"/>
      <c r="L79" s="196" t="s">
        <v>1178</v>
      </c>
      <c r="M79" s="514" t="s">
        <v>1324</v>
      </c>
      <c r="N79" s="37"/>
      <c r="O79" s="37"/>
      <c r="P79" s="37"/>
      <c r="Q79" s="37"/>
      <c r="R79" s="37"/>
      <c r="S79" s="37"/>
      <c r="T79" s="37"/>
      <c r="U79" s="37"/>
      <c r="V79" s="37"/>
      <c r="W79" s="37"/>
      <c r="X79" s="37"/>
      <c r="Y79" s="37"/>
      <c r="Z79" s="37"/>
      <c r="AA79" s="39"/>
    </row>
    <row r="80" spans="1:27" ht="159" hidden="1" customHeight="1" outlineLevel="1">
      <c r="A80" s="325">
        <v>52</v>
      </c>
      <c r="B80" s="32" t="s">
        <v>47</v>
      </c>
      <c r="C80" s="32" t="s">
        <v>628</v>
      </c>
      <c r="D80" s="32" t="s">
        <v>629</v>
      </c>
      <c r="E80" s="33" t="s">
        <v>630</v>
      </c>
      <c r="F80" s="42" t="s">
        <v>56</v>
      </c>
      <c r="G80" s="326" t="s">
        <v>77</v>
      </c>
      <c r="H80" s="196"/>
      <c r="I80" s="289"/>
      <c r="J80" s="196"/>
      <c r="K80" s="481"/>
      <c r="L80" s="196" t="s">
        <v>1178</v>
      </c>
      <c r="M80" s="514" t="s">
        <v>1324</v>
      </c>
      <c r="N80" s="37"/>
      <c r="O80" s="37"/>
      <c r="P80" s="37"/>
      <c r="Q80" s="37"/>
      <c r="R80" s="37"/>
      <c r="S80" s="37"/>
      <c r="T80" s="37"/>
      <c r="U80" s="37"/>
      <c r="V80" s="37"/>
      <c r="W80" s="37"/>
      <c r="X80" s="37"/>
      <c r="Y80" s="37"/>
      <c r="Z80" s="37"/>
      <c r="AA80" s="39"/>
    </row>
    <row r="81" spans="1:27" ht="182.25" hidden="1" customHeight="1" outlineLevel="1">
      <c r="A81" s="325">
        <v>53</v>
      </c>
      <c r="B81" s="79" t="s">
        <v>78</v>
      </c>
      <c r="C81" s="79" t="s">
        <v>79</v>
      </c>
      <c r="D81" s="79" t="s">
        <v>80</v>
      </c>
      <c r="E81" s="323" t="s">
        <v>81</v>
      </c>
      <c r="F81" s="107" t="s">
        <v>56</v>
      </c>
      <c r="G81" s="324" t="s">
        <v>82</v>
      </c>
      <c r="H81" s="196"/>
      <c r="I81" s="289"/>
      <c r="J81" s="196"/>
      <c r="K81" s="481"/>
      <c r="L81" s="196" t="s">
        <v>1178</v>
      </c>
      <c r="M81" s="514" t="s">
        <v>1324</v>
      </c>
      <c r="N81" s="37"/>
      <c r="O81" s="37"/>
      <c r="P81" s="37"/>
      <c r="Q81" s="37"/>
      <c r="R81" s="37"/>
      <c r="S81" s="37"/>
      <c r="T81" s="37"/>
      <c r="U81" s="37"/>
      <c r="V81" s="37"/>
      <c r="W81" s="37"/>
      <c r="X81" s="37"/>
      <c r="Y81" s="37"/>
      <c r="Z81" s="37"/>
      <c r="AA81" s="39"/>
    </row>
    <row r="82" spans="1:27" ht="231" hidden="1" customHeight="1" outlineLevel="1">
      <c r="A82" s="327">
        <v>54</v>
      </c>
      <c r="B82" s="55" t="s">
        <v>83</v>
      </c>
      <c r="C82" s="55" t="s">
        <v>84</v>
      </c>
      <c r="D82" s="55" t="s">
        <v>85</v>
      </c>
      <c r="E82" s="55" t="s">
        <v>86</v>
      </c>
      <c r="F82" s="171" t="s">
        <v>56</v>
      </c>
      <c r="G82" s="347" t="s">
        <v>87</v>
      </c>
      <c r="H82" s="196"/>
      <c r="I82" s="289"/>
      <c r="J82" s="196"/>
      <c r="K82" s="481"/>
      <c r="L82" s="196" t="s">
        <v>1178</v>
      </c>
      <c r="M82" s="514" t="s">
        <v>1324</v>
      </c>
      <c r="N82" s="37"/>
      <c r="O82" s="37"/>
      <c r="P82" s="37"/>
      <c r="Q82" s="37"/>
      <c r="R82" s="37"/>
      <c r="S82" s="37"/>
      <c r="T82" s="37"/>
      <c r="U82" s="37"/>
      <c r="V82" s="37"/>
      <c r="W82" s="37"/>
      <c r="X82" s="37"/>
      <c r="Y82" s="37"/>
      <c r="Z82" s="37"/>
      <c r="AA82" s="39"/>
    </row>
    <row r="83" spans="1:27" ht="15" hidden="1" customHeight="1" collapsed="1">
      <c r="A83" s="261" t="s">
        <v>631</v>
      </c>
      <c r="B83" s="177"/>
      <c r="C83" s="177"/>
      <c r="D83" s="177"/>
      <c r="E83" s="177"/>
      <c r="F83" s="177"/>
      <c r="G83" s="344"/>
      <c r="H83" s="296"/>
      <c r="I83" s="297"/>
      <c r="J83" s="268"/>
      <c r="K83" s="489"/>
      <c r="L83" s="233"/>
      <c r="M83" s="440"/>
      <c r="N83" s="39"/>
      <c r="O83" s="39"/>
      <c r="P83" s="39"/>
      <c r="Q83" s="39"/>
      <c r="R83" s="39"/>
      <c r="S83" s="39"/>
      <c r="T83" s="39"/>
      <c r="U83" s="39"/>
      <c r="V83" s="39"/>
      <c r="W83" s="39"/>
      <c r="X83" s="39"/>
      <c r="Y83" s="39"/>
      <c r="Z83" s="39"/>
      <c r="AA83" s="39"/>
    </row>
    <row r="84" spans="1:27" hidden="1" outlineLevel="1">
      <c r="A84" s="345" t="s">
        <v>88</v>
      </c>
      <c r="B84" s="178"/>
      <c r="C84" s="178"/>
      <c r="D84" s="178"/>
      <c r="E84" s="178"/>
      <c r="F84" s="178"/>
      <c r="G84" s="346"/>
      <c r="H84" s="290"/>
      <c r="I84" s="298"/>
      <c r="J84" s="269"/>
      <c r="K84" s="490"/>
      <c r="L84" s="234"/>
      <c r="M84" s="442"/>
      <c r="N84" s="39"/>
      <c r="O84" s="39"/>
      <c r="P84" s="39"/>
      <c r="Q84" s="39"/>
      <c r="R84" s="39"/>
      <c r="S84" s="39"/>
      <c r="T84" s="39"/>
      <c r="U84" s="39"/>
      <c r="V84" s="39"/>
      <c r="W84" s="39"/>
      <c r="X84" s="39"/>
      <c r="Y84" s="39"/>
      <c r="Z84" s="39"/>
      <c r="AA84" s="39"/>
    </row>
    <row r="85" spans="1:27" ht="199.5" hidden="1" outlineLevel="1">
      <c r="A85" s="335">
        <v>55</v>
      </c>
      <c r="B85" s="40" t="s">
        <v>230</v>
      </c>
      <c r="C85" s="40" t="s">
        <v>231</v>
      </c>
      <c r="D85" s="40" t="s">
        <v>232</v>
      </c>
      <c r="E85" s="40" t="s">
        <v>233</v>
      </c>
      <c r="F85" s="45" t="s">
        <v>1175</v>
      </c>
      <c r="G85" s="331" t="s">
        <v>234</v>
      </c>
      <c r="H85" s="196"/>
      <c r="I85" s="289"/>
      <c r="J85" s="196"/>
      <c r="K85" s="481"/>
      <c r="L85" s="196" t="s">
        <v>1178</v>
      </c>
      <c r="M85" s="514" t="s">
        <v>1325</v>
      </c>
      <c r="N85" s="39"/>
      <c r="O85" s="39"/>
      <c r="P85" s="39"/>
      <c r="Q85" s="39"/>
      <c r="R85" s="39"/>
      <c r="S85" s="39"/>
      <c r="T85" s="39"/>
      <c r="U85" s="39"/>
      <c r="V85" s="39"/>
      <c r="W85" s="39"/>
      <c r="X85" s="39"/>
      <c r="Y85" s="39"/>
      <c r="Z85" s="39"/>
      <c r="AA85" s="39"/>
    </row>
    <row r="86" spans="1:27" ht="213.75" hidden="1" outlineLevel="1">
      <c r="A86" s="335">
        <v>56</v>
      </c>
      <c r="B86" s="40" t="s">
        <v>235</v>
      </c>
      <c r="C86" s="40" t="s">
        <v>236</v>
      </c>
      <c r="D86" s="40" t="s">
        <v>237</v>
      </c>
      <c r="E86" s="40" t="s">
        <v>632</v>
      </c>
      <c r="F86" s="45" t="s">
        <v>1175</v>
      </c>
      <c r="G86" s="331" t="s">
        <v>238</v>
      </c>
      <c r="H86" s="196"/>
      <c r="I86" s="289"/>
      <c r="J86" s="196"/>
      <c r="K86" s="481"/>
      <c r="L86" s="196" t="s">
        <v>1178</v>
      </c>
      <c r="M86" s="514" t="s">
        <v>1325</v>
      </c>
      <c r="N86" s="39"/>
      <c r="O86" s="39"/>
      <c r="P86" s="39"/>
      <c r="Q86" s="39"/>
      <c r="R86" s="39"/>
      <c r="S86" s="39"/>
      <c r="T86" s="39"/>
      <c r="U86" s="39"/>
      <c r="V86" s="39"/>
      <c r="W86" s="39"/>
      <c r="X86" s="39"/>
      <c r="Y86" s="39"/>
      <c r="Z86" s="39"/>
      <c r="AA86" s="39"/>
    </row>
    <row r="87" spans="1:27" ht="228" hidden="1" outlineLevel="1">
      <c r="A87" s="335">
        <v>57</v>
      </c>
      <c r="B87" s="40" t="s">
        <v>239</v>
      </c>
      <c r="C87" s="40" t="s">
        <v>240</v>
      </c>
      <c r="D87" s="40" t="s">
        <v>241</v>
      </c>
      <c r="E87" s="40" t="s">
        <v>242</v>
      </c>
      <c r="F87" s="45" t="s">
        <v>1175</v>
      </c>
      <c r="G87" s="331" t="s">
        <v>243</v>
      </c>
      <c r="H87" s="196"/>
      <c r="I87" s="289"/>
      <c r="J87" s="196"/>
      <c r="K87" s="481"/>
      <c r="L87" s="196" t="s">
        <v>1178</v>
      </c>
      <c r="M87" s="514" t="s">
        <v>1325</v>
      </c>
      <c r="N87" s="39"/>
      <c r="O87" s="39"/>
      <c r="P87" s="39"/>
      <c r="Q87" s="39"/>
      <c r="R87" s="39"/>
      <c r="S87" s="39"/>
      <c r="T87" s="39"/>
      <c r="U87" s="39"/>
      <c r="V87" s="39"/>
      <c r="W87" s="39"/>
      <c r="X87" s="39"/>
      <c r="Y87" s="39"/>
      <c r="Z87" s="39"/>
      <c r="AA87" s="39"/>
    </row>
    <row r="88" spans="1:27" ht="409.5" hidden="1" outlineLevel="1">
      <c r="A88" s="335">
        <v>58</v>
      </c>
      <c r="B88" s="40" t="s">
        <v>244</v>
      </c>
      <c r="C88" s="40" t="s">
        <v>245</v>
      </c>
      <c r="D88" s="40" t="s">
        <v>246</v>
      </c>
      <c r="E88" s="40" t="s">
        <v>247</v>
      </c>
      <c r="F88" s="45" t="s">
        <v>1175</v>
      </c>
      <c r="G88" s="331" t="s">
        <v>248</v>
      </c>
      <c r="H88" s="196"/>
      <c r="I88" s="289"/>
      <c r="J88" s="196"/>
      <c r="K88" s="481"/>
      <c r="L88" s="196" t="s">
        <v>1178</v>
      </c>
      <c r="M88" s="514" t="s">
        <v>1325</v>
      </c>
      <c r="N88" s="39"/>
      <c r="O88" s="39"/>
      <c r="P88" s="39"/>
      <c r="Q88" s="39"/>
      <c r="R88" s="39"/>
      <c r="S88" s="39"/>
      <c r="T88" s="39"/>
      <c r="U88" s="39"/>
      <c r="V88" s="39"/>
      <c r="W88" s="39"/>
      <c r="X88" s="39"/>
      <c r="Y88" s="39"/>
      <c r="Z88" s="39"/>
      <c r="AA88" s="39"/>
    </row>
    <row r="89" spans="1:27" ht="199.5" hidden="1" outlineLevel="1">
      <c r="A89" s="335">
        <v>59</v>
      </c>
      <c r="B89" s="40" t="s">
        <v>249</v>
      </c>
      <c r="C89" s="40" t="s">
        <v>250</v>
      </c>
      <c r="D89" s="40" t="s">
        <v>251</v>
      </c>
      <c r="E89" s="40" t="s">
        <v>252</v>
      </c>
      <c r="F89" s="45" t="s">
        <v>1175</v>
      </c>
      <c r="G89" s="331" t="s">
        <v>253</v>
      </c>
      <c r="H89" s="196"/>
      <c r="I89" s="289"/>
      <c r="J89" s="196"/>
      <c r="K89" s="481"/>
      <c r="L89" s="196" t="s">
        <v>1178</v>
      </c>
      <c r="M89" s="514" t="s">
        <v>1325</v>
      </c>
      <c r="N89" s="39"/>
      <c r="O89" s="39"/>
      <c r="P89" s="39"/>
      <c r="Q89" s="39"/>
      <c r="R89" s="39"/>
      <c r="S89" s="39"/>
      <c r="T89" s="39"/>
      <c r="U89" s="39"/>
      <c r="V89" s="39"/>
      <c r="W89" s="39"/>
      <c r="X89" s="39"/>
      <c r="Y89" s="39"/>
      <c r="Z89" s="39"/>
      <c r="AA89" s="39"/>
    </row>
    <row r="90" spans="1:27" ht="409.5" hidden="1" outlineLevel="1">
      <c r="A90" s="335">
        <v>60</v>
      </c>
      <c r="B90" s="40" t="s">
        <v>254</v>
      </c>
      <c r="C90" s="40" t="s">
        <v>255</v>
      </c>
      <c r="D90" s="40" t="s">
        <v>256</v>
      </c>
      <c r="E90" s="40" t="s">
        <v>257</v>
      </c>
      <c r="F90" s="45" t="s">
        <v>1175</v>
      </c>
      <c r="G90" s="331" t="s">
        <v>258</v>
      </c>
      <c r="H90" s="196"/>
      <c r="I90" s="289"/>
      <c r="J90" s="196"/>
      <c r="K90" s="481"/>
      <c r="L90" s="196" t="s">
        <v>1178</v>
      </c>
      <c r="M90" s="514" t="s">
        <v>1325</v>
      </c>
      <c r="N90" s="39"/>
      <c r="O90" s="39"/>
      <c r="P90" s="39"/>
      <c r="Q90" s="39"/>
      <c r="R90" s="39"/>
      <c r="S90" s="39"/>
      <c r="T90" s="39"/>
      <c r="U90" s="39"/>
      <c r="V90" s="39"/>
      <c r="W90" s="39"/>
      <c r="X90" s="39"/>
      <c r="Y90" s="39"/>
      <c r="Z90" s="39"/>
      <c r="AA90" s="39"/>
    </row>
    <row r="91" spans="1:27" ht="409.5" hidden="1" outlineLevel="1">
      <c r="A91" s="335">
        <v>61</v>
      </c>
      <c r="B91" s="40" t="s">
        <v>259</v>
      </c>
      <c r="C91" s="40" t="s">
        <v>260</v>
      </c>
      <c r="D91" s="40" t="s">
        <v>261</v>
      </c>
      <c r="E91" s="40" t="s">
        <v>262</v>
      </c>
      <c r="F91" s="45" t="s">
        <v>1175</v>
      </c>
      <c r="G91" s="331" t="s">
        <v>263</v>
      </c>
      <c r="H91" s="196"/>
      <c r="I91" s="289"/>
      <c r="J91" s="196"/>
      <c r="K91" s="481"/>
      <c r="L91" s="196" t="s">
        <v>1178</v>
      </c>
      <c r="M91" s="514" t="s">
        <v>1325</v>
      </c>
      <c r="N91" s="39"/>
      <c r="O91" s="39"/>
      <c r="P91" s="39"/>
      <c r="Q91" s="39"/>
      <c r="R91" s="39"/>
      <c r="S91" s="39"/>
      <c r="T91" s="39"/>
      <c r="U91" s="39"/>
      <c r="V91" s="39"/>
      <c r="W91" s="39"/>
      <c r="X91" s="39"/>
      <c r="Y91" s="39"/>
      <c r="Z91" s="39"/>
      <c r="AA91" s="39"/>
    </row>
    <row r="92" spans="1:27" ht="409.5" hidden="1" outlineLevel="1">
      <c r="A92" s="335">
        <v>62</v>
      </c>
      <c r="B92" s="40" t="s">
        <v>264</v>
      </c>
      <c r="C92" s="40" t="s">
        <v>265</v>
      </c>
      <c r="D92" s="40" t="s">
        <v>633</v>
      </c>
      <c r="E92" s="40" t="s">
        <v>266</v>
      </c>
      <c r="F92" s="45" t="s">
        <v>1175</v>
      </c>
      <c r="G92" s="331" t="s">
        <v>267</v>
      </c>
      <c r="H92" s="196"/>
      <c r="I92" s="289"/>
      <c r="J92" s="196"/>
      <c r="K92" s="481"/>
      <c r="L92" s="196" t="s">
        <v>1178</v>
      </c>
      <c r="M92" s="514" t="s">
        <v>1325</v>
      </c>
      <c r="N92" s="39"/>
      <c r="O92" s="39"/>
      <c r="P92" s="39"/>
      <c r="Q92" s="39"/>
      <c r="R92" s="39"/>
      <c r="S92" s="39"/>
      <c r="T92" s="39"/>
      <c r="U92" s="39"/>
      <c r="V92" s="39"/>
      <c r="W92" s="39"/>
      <c r="X92" s="39"/>
      <c r="Y92" s="39"/>
      <c r="Z92" s="39"/>
      <c r="AA92" s="39"/>
    </row>
    <row r="93" spans="1:27" ht="409.5" hidden="1" outlineLevel="1">
      <c r="A93" s="335">
        <v>63</v>
      </c>
      <c r="B93" s="40" t="s">
        <v>268</v>
      </c>
      <c r="C93" s="40" t="s">
        <v>269</v>
      </c>
      <c r="D93" s="40" t="s">
        <v>270</v>
      </c>
      <c r="E93" s="40" t="s">
        <v>271</v>
      </c>
      <c r="F93" s="45" t="s">
        <v>1175</v>
      </c>
      <c r="G93" s="331" t="s">
        <v>272</v>
      </c>
      <c r="H93" s="196"/>
      <c r="I93" s="289"/>
      <c r="J93" s="196"/>
      <c r="K93" s="481"/>
      <c r="L93" s="196" t="s">
        <v>1178</v>
      </c>
      <c r="M93" s="514" t="s">
        <v>1325</v>
      </c>
      <c r="N93" s="39"/>
      <c r="O93" s="39"/>
      <c r="P93" s="39"/>
      <c r="Q93" s="39"/>
      <c r="R93" s="39"/>
      <c r="S93" s="39"/>
      <c r="T93" s="39"/>
      <c r="U93" s="39"/>
      <c r="V93" s="39"/>
      <c r="W93" s="39"/>
      <c r="X93" s="39"/>
      <c r="Y93" s="39"/>
      <c r="Z93" s="39"/>
      <c r="AA93" s="39"/>
    </row>
    <row r="94" spans="1:27" ht="342" hidden="1" outlineLevel="1">
      <c r="A94" s="348">
        <v>64</v>
      </c>
      <c r="B94" s="40" t="s">
        <v>273</v>
      </c>
      <c r="C94" s="40" t="s">
        <v>274</v>
      </c>
      <c r="D94" s="40" t="s">
        <v>634</v>
      </c>
      <c r="E94" s="40" t="s">
        <v>275</v>
      </c>
      <c r="F94" s="45" t="s">
        <v>1175</v>
      </c>
      <c r="G94" s="331" t="s">
        <v>276</v>
      </c>
      <c r="H94" s="196"/>
      <c r="I94" s="289"/>
      <c r="J94" s="196"/>
      <c r="K94" s="481"/>
      <c r="L94" s="196" t="s">
        <v>1178</v>
      </c>
      <c r="M94" s="514" t="s">
        <v>1325</v>
      </c>
      <c r="N94" s="39"/>
      <c r="O94" s="39"/>
      <c r="P94" s="39"/>
      <c r="Q94" s="39"/>
      <c r="R94" s="39"/>
      <c r="S94" s="39"/>
      <c r="T94" s="39"/>
      <c r="U94" s="39"/>
      <c r="V94" s="39"/>
      <c r="W94" s="39"/>
      <c r="X94" s="39"/>
      <c r="Y94" s="39"/>
      <c r="Z94" s="39"/>
      <c r="AA94" s="39"/>
    </row>
    <row r="95" spans="1:27" ht="409.5" hidden="1" outlineLevel="1">
      <c r="A95" s="335">
        <v>65</v>
      </c>
      <c r="B95" s="40" t="s">
        <v>277</v>
      </c>
      <c r="C95" s="40" t="s">
        <v>278</v>
      </c>
      <c r="D95" s="40" t="s">
        <v>279</v>
      </c>
      <c r="E95" s="40" t="s">
        <v>280</v>
      </c>
      <c r="F95" s="42" t="s">
        <v>56</v>
      </c>
      <c r="G95" s="331" t="s">
        <v>281</v>
      </c>
      <c r="H95" s="196"/>
      <c r="I95" s="289"/>
      <c r="J95" s="196"/>
      <c r="K95" s="481"/>
      <c r="L95" s="196" t="s">
        <v>1178</v>
      </c>
      <c r="M95" s="514" t="s">
        <v>1325</v>
      </c>
      <c r="N95" s="39"/>
      <c r="O95" s="39"/>
      <c r="P95" s="39"/>
      <c r="Q95" s="39"/>
      <c r="R95" s="39"/>
      <c r="S95" s="39"/>
      <c r="T95" s="39"/>
      <c r="U95" s="39"/>
      <c r="V95" s="39"/>
      <c r="W95" s="39"/>
      <c r="X95" s="39"/>
      <c r="Y95" s="39"/>
      <c r="Z95" s="39"/>
      <c r="AA95" s="39"/>
    </row>
    <row r="96" spans="1:27" ht="342.75" hidden="1" outlineLevel="1">
      <c r="A96" s="335">
        <v>66</v>
      </c>
      <c r="B96" s="40" t="s">
        <v>282</v>
      </c>
      <c r="C96" s="40" t="s">
        <v>283</v>
      </c>
      <c r="D96" s="40" t="s">
        <v>1166</v>
      </c>
      <c r="E96" s="40" t="s">
        <v>284</v>
      </c>
      <c r="F96" s="42" t="s">
        <v>56</v>
      </c>
      <c r="G96" s="331" t="s">
        <v>285</v>
      </c>
      <c r="H96" s="196"/>
      <c r="I96" s="289"/>
      <c r="J96" s="196"/>
      <c r="K96" s="481"/>
      <c r="L96" s="196" t="s">
        <v>1178</v>
      </c>
      <c r="M96" s="514" t="s">
        <v>1325</v>
      </c>
      <c r="N96" s="39"/>
      <c r="O96" s="39"/>
      <c r="P96" s="39"/>
      <c r="Q96" s="39"/>
      <c r="R96" s="39"/>
      <c r="S96" s="39"/>
      <c r="T96" s="39"/>
      <c r="U96" s="39"/>
      <c r="V96" s="39"/>
      <c r="W96" s="39"/>
      <c r="X96" s="39"/>
      <c r="Y96" s="39"/>
      <c r="Z96" s="39"/>
      <c r="AA96" s="39"/>
    </row>
    <row r="97" spans="1:27" ht="228" hidden="1" outlineLevel="1">
      <c r="A97" s="335">
        <v>67</v>
      </c>
      <c r="B97" s="40" t="s">
        <v>286</v>
      </c>
      <c r="C97" s="40" t="s">
        <v>287</v>
      </c>
      <c r="D97" s="40" t="s">
        <v>288</v>
      </c>
      <c r="E97" s="40" t="s">
        <v>289</v>
      </c>
      <c r="F97" s="42" t="s">
        <v>56</v>
      </c>
      <c r="G97" s="331" t="s">
        <v>290</v>
      </c>
      <c r="H97" s="196"/>
      <c r="I97" s="289"/>
      <c r="J97" s="196"/>
      <c r="K97" s="481"/>
      <c r="L97" s="196" t="s">
        <v>1178</v>
      </c>
      <c r="M97" s="514" t="s">
        <v>1325</v>
      </c>
      <c r="N97" s="39"/>
      <c r="O97" s="39"/>
      <c r="P97" s="39"/>
      <c r="Q97" s="39"/>
      <c r="R97" s="39"/>
      <c r="S97" s="39"/>
      <c r="T97" s="39"/>
      <c r="U97" s="39"/>
      <c r="V97" s="39"/>
      <c r="W97" s="39"/>
      <c r="X97" s="39"/>
      <c r="Y97" s="39"/>
      <c r="Z97" s="39"/>
      <c r="AA97" s="39"/>
    </row>
    <row r="98" spans="1:27" ht="242.25" hidden="1" outlineLevel="1">
      <c r="A98" s="335">
        <v>68</v>
      </c>
      <c r="B98" s="40" t="s">
        <v>291</v>
      </c>
      <c r="C98" s="40" t="s">
        <v>292</v>
      </c>
      <c r="D98" s="40" t="s">
        <v>293</v>
      </c>
      <c r="E98" s="40" t="s">
        <v>294</v>
      </c>
      <c r="F98" s="42" t="s">
        <v>56</v>
      </c>
      <c r="G98" s="331" t="s">
        <v>295</v>
      </c>
      <c r="H98" s="196"/>
      <c r="I98" s="289"/>
      <c r="J98" s="196"/>
      <c r="K98" s="481"/>
      <c r="L98" s="196" t="s">
        <v>1178</v>
      </c>
      <c r="M98" s="514" t="s">
        <v>1325</v>
      </c>
      <c r="N98" s="39"/>
      <c r="O98" s="39"/>
      <c r="P98" s="39"/>
      <c r="Q98" s="39"/>
      <c r="R98" s="39"/>
      <c r="S98" s="39"/>
      <c r="T98" s="39"/>
      <c r="U98" s="39"/>
      <c r="V98" s="39"/>
      <c r="W98" s="39"/>
      <c r="X98" s="39"/>
      <c r="Y98" s="39"/>
      <c r="Z98" s="39"/>
      <c r="AA98" s="39"/>
    </row>
    <row r="99" spans="1:27" ht="299.25" hidden="1" outlineLevel="1">
      <c r="A99" s="335">
        <v>69</v>
      </c>
      <c r="B99" s="40" t="s">
        <v>296</v>
      </c>
      <c r="C99" s="40" t="s">
        <v>297</v>
      </c>
      <c r="D99" s="40" t="s">
        <v>298</v>
      </c>
      <c r="E99" s="40" t="s">
        <v>299</v>
      </c>
      <c r="F99" s="42" t="s">
        <v>56</v>
      </c>
      <c r="G99" s="331" t="s">
        <v>300</v>
      </c>
      <c r="H99" s="196"/>
      <c r="I99" s="289"/>
      <c r="J99" s="196"/>
      <c r="K99" s="481"/>
      <c r="L99" s="196" t="s">
        <v>1178</v>
      </c>
      <c r="M99" s="514" t="s">
        <v>1325</v>
      </c>
      <c r="N99" s="39"/>
      <c r="O99" s="39"/>
      <c r="P99" s="39"/>
      <c r="Q99" s="39"/>
      <c r="R99" s="39"/>
      <c r="S99" s="39"/>
      <c r="T99" s="39"/>
      <c r="U99" s="39"/>
      <c r="V99" s="39"/>
      <c r="W99" s="39"/>
      <c r="X99" s="39"/>
      <c r="Y99" s="39"/>
      <c r="Z99" s="39"/>
      <c r="AA99" s="39"/>
    </row>
    <row r="100" spans="1:27" ht="213.75" hidden="1" outlineLevel="1">
      <c r="A100" s="342">
        <v>70</v>
      </c>
      <c r="B100" s="154" t="s">
        <v>301</v>
      </c>
      <c r="C100" s="154" t="s">
        <v>302</v>
      </c>
      <c r="D100" s="154" t="s">
        <v>303</v>
      </c>
      <c r="E100" s="154" t="s">
        <v>304</v>
      </c>
      <c r="F100" s="155" t="s">
        <v>56</v>
      </c>
      <c r="G100" s="343" t="s">
        <v>305</v>
      </c>
      <c r="H100" s="196"/>
      <c r="I100" s="289"/>
      <c r="J100" s="196"/>
      <c r="K100" s="481"/>
      <c r="L100" s="196" t="s">
        <v>1178</v>
      </c>
      <c r="M100" s="514" t="s">
        <v>1325</v>
      </c>
      <c r="N100" s="39"/>
      <c r="O100" s="39"/>
      <c r="P100" s="39"/>
      <c r="Q100" s="39"/>
      <c r="R100" s="39"/>
      <c r="S100" s="39"/>
      <c r="T100" s="39"/>
      <c r="U100" s="39"/>
      <c r="V100" s="39"/>
      <c r="W100" s="39"/>
      <c r="X100" s="39"/>
      <c r="Y100" s="39"/>
      <c r="Z100" s="39"/>
      <c r="AA100" s="39"/>
    </row>
    <row r="101" spans="1:27" ht="15" hidden="1" customHeight="1" collapsed="1">
      <c r="A101" s="261" t="s">
        <v>635</v>
      </c>
      <c r="B101" s="177"/>
      <c r="C101" s="177"/>
      <c r="D101" s="177"/>
      <c r="E101" s="177"/>
      <c r="F101" s="177"/>
      <c r="G101" s="349"/>
      <c r="H101" s="296"/>
      <c r="I101" s="297"/>
      <c r="J101" s="268"/>
      <c r="K101" s="489"/>
      <c r="L101" s="233"/>
      <c r="M101" s="443"/>
      <c r="N101" s="37"/>
      <c r="O101" s="37"/>
      <c r="P101" s="37"/>
      <c r="Q101" s="37"/>
      <c r="R101" s="37"/>
      <c r="S101" s="37"/>
      <c r="T101" s="37"/>
      <c r="U101" s="37"/>
      <c r="V101" s="37"/>
      <c r="W101" s="37"/>
      <c r="X101" s="37"/>
      <c r="Y101" s="37"/>
      <c r="Z101" s="37"/>
      <c r="AA101" s="37"/>
    </row>
    <row r="102" spans="1:27" hidden="1" outlineLevel="1">
      <c r="A102" s="345" t="s">
        <v>306</v>
      </c>
      <c r="B102" s="178"/>
      <c r="C102" s="178"/>
      <c r="D102" s="178"/>
      <c r="E102" s="178"/>
      <c r="F102" s="178"/>
      <c r="G102" s="350"/>
      <c r="H102" s="290"/>
      <c r="I102" s="298"/>
      <c r="J102" s="269"/>
      <c r="K102" s="490"/>
      <c r="L102" s="234"/>
      <c r="M102" s="444"/>
      <c r="N102" s="37"/>
      <c r="O102" s="37"/>
      <c r="P102" s="37"/>
      <c r="Q102" s="37"/>
      <c r="R102" s="37"/>
      <c r="S102" s="37"/>
      <c r="T102" s="37"/>
      <c r="U102" s="37"/>
      <c r="V102" s="37"/>
      <c r="W102" s="37"/>
      <c r="X102" s="37"/>
      <c r="Y102" s="37"/>
      <c r="Z102" s="37"/>
      <c r="AA102" s="37"/>
    </row>
    <row r="103" spans="1:27" ht="409.5" hidden="1" outlineLevel="1">
      <c r="A103" s="348">
        <v>71</v>
      </c>
      <c r="B103" s="40" t="s">
        <v>307</v>
      </c>
      <c r="C103" s="34" t="s">
        <v>308</v>
      </c>
      <c r="D103" s="40" t="s">
        <v>309</v>
      </c>
      <c r="E103" s="40" t="s">
        <v>310</v>
      </c>
      <c r="F103" s="45" t="s">
        <v>1175</v>
      </c>
      <c r="G103" s="329" t="s">
        <v>311</v>
      </c>
      <c r="H103" s="196"/>
      <c r="I103" s="289"/>
      <c r="J103" s="196"/>
      <c r="K103" s="485"/>
      <c r="L103" s="196" t="s">
        <v>1178</v>
      </c>
      <c r="M103" s="197" t="s">
        <v>1366</v>
      </c>
      <c r="N103" s="37"/>
      <c r="O103" s="37"/>
      <c r="P103" s="37"/>
      <c r="Q103" s="37"/>
      <c r="R103" s="37"/>
      <c r="S103" s="37"/>
      <c r="T103" s="37"/>
      <c r="U103" s="37"/>
      <c r="V103" s="37"/>
      <c r="W103" s="37"/>
      <c r="X103" s="37"/>
      <c r="Y103" s="37"/>
      <c r="Z103" s="37"/>
      <c r="AA103" s="37"/>
    </row>
    <row r="104" spans="1:27" ht="409.5" hidden="1" outlineLevel="1">
      <c r="A104" s="348">
        <v>72</v>
      </c>
      <c r="B104" s="40" t="s">
        <v>312</v>
      </c>
      <c r="C104" s="34" t="s">
        <v>313</v>
      </c>
      <c r="D104" s="40" t="s">
        <v>314</v>
      </c>
      <c r="E104" s="40" t="s">
        <v>315</v>
      </c>
      <c r="F104" s="45" t="s">
        <v>1175</v>
      </c>
      <c r="G104" s="331" t="s">
        <v>316</v>
      </c>
      <c r="H104" s="196"/>
      <c r="I104" s="289"/>
      <c r="J104" s="196"/>
      <c r="K104" s="485"/>
      <c r="L104" s="196" t="s">
        <v>1178</v>
      </c>
      <c r="M104" s="218" t="s">
        <v>1367</v>
      </c>
      <c r="N104" s="37"/>
      <c r="O104" s="37"/>
      <c r="P104" s="37"/>
      <c r="Q104" s="37"/>
      <c r="R104" s="37"/>
      <c r="S104" s="37"/>
      <c r="T104" s="37"/>
      <c r="U104" s="37"/>
      <c r="V104" s="37"/>
      <c r="W104" s="37"/>
      <c r="X104" s="37"/>
      <c r="Y104" s="37"/>
      <c r="Z104" s="37"/>
      <c r="AA104" s="37"/>
    </row>
    <row r="105" spans="1:27" ht="409.5" hidden="1" outlineLevel="1">
      <c r="A105" s="348">
        <v>73</v>
      </c>
      <c r="B105" s="40" t="s">
        <v>317</v>
      </c>
      <c r="C105" s="34" t="s">
        <v>318</v>
      </c>
      <c r="D105" s="40" t="s">
        <v>319</v>
      </c>
      <c r="E105" s="40" t="s">
        <v>320</v>
      </c>
      <c r="F105" s="45" t="s">
        <v>1175</v>
      </c>
      <c r="G105" s="331" t="s">
        <v>321</v>
      </c>
      <c r="H105" s="196"/>
      <c r="I105" s="289"/>
      <c r="J105" s="196"/>
      <c r="K105" s="481"/>
      <c r="L105" s="196" t="s">
        <v>1178</v>
      </c>
      <c r="M105" s="514" t="s">
        <v>1326</v>
      </c>
      <c r="N105" s="37"/>
      <c r="O105" s="37"/>
      <c r="P105" s="37"/>
      <c r="Q105" s="37"/>
      <c r="R105" s="37"/>
      <c r="S105" s="37"/>
      <c r="T105" s="37"/>
      <c r="U105" s="37"/>
      <c r="V105" s="37"/>
      <c r="W105" s="37"/>
      <c r="X105" s="37"/>
      <c r="Y105" s="37"/>
      <c r="Z105" s="37"/>
      <c r="AA105" s="37"/>
    </row>
    <row r="106" spans="1:27" ht="242.25" hidden="1" outlineLevel="1">
      <c r="A106" s="348">
        <v>74</v>
      </c>
      <c r="B106" s="40" t="s">
        <v>322</v>
      </c>
      <c r="C106" s="34" t="s">
        <v>323</v>
      </c>
      <c r="D106" s="40" t="s">
        <v>324</v>
      </c>
      <c r="E106" s="40" t="s">
        <v>325</v>
      </c>
      <c r="F106" s="41" t="s">
        <v>46</v>
      </c>
      <c r="G106" s="331" t="s">
        <v>326</v>
      </c>
      <c r="H106" s="196"/>
      <c r="I106" s="289"/>
      <c r="J106" s="196"/>
      <c r="K106" s="481"/>
      <c r="L106" s="196" t="s">
        <v>1178</v>
      </c>
      <c r="M106" s="514" t="s">
        <v>1326</v>
      </c>
      <c r="N106" s="37"/>
      <c r="O106" s="37"/>
      <c r="P106" s="37"/>
      <c r="Q106" s="37"/>
      <c r="R106" s="37"/>
      <c r="S106" s="37"/>
      <c r="T106" s="37"/>
      <c r="U106" s="37"/>
      <c r="V106" s="37"/>
      <c r="W106" s="37"/>
      <c r="X106" s="37"/>
      <c r="Y106" s="37"/>
      <c r="Z106" s="37"/>
      <c r="AA106" s="37"/>
    </row>
    <row r="107" spans="1:27" ht="384.75" hidden="1" outlineLevel="1">
      <c r="A107" s="348">
        <v>75</v>
      </c>
      <c r="B107" s="40" t="s">
        <v>327</v>
      </c>
      <c r="C107" s="34" t="s">
        <v>328</v>
      </c>
      <c r="D107" s="40" t="s">
        <v>329</v>
      </c>
      <c r="E107" s="40" t="s">
        <v>330</v>
      </c>
      <c r="F107" s="41" t="s">
        <v>46</v>
      </c>
      <c r="G107" s="331" t="s">
        <v>331</v>
      </c>
      <c r="H107" s="196"/>
      <c r="I107" s="289"/>
      <c r="J107" s="196"/>
      <c r="K107" s="481"/>
      <c r="L107" s="196" t="s">
        <v>1178</v>
      </c>
      <c r="M107" s="514" t="s">
        <v>1326</v>
      </c>
      <c r="N107" s="37"/>
      <c r="O107" s="37"/>
      <c r="P107" s="37"/>
      <c r="Q107" s="37"/>
      <c r="R107" s="37"/>
      <c r="S107" s="37"/>
      <c r="T107" s="37"/>
      <c r="U107" s="37"/>
      <c r="V107" s="37"/>
      <c r="W107" s="37"/>
      <c r="X107" s="37"/>
      <c r="Y107" s="37"/>
      <c r="Z107" s="37"/>
      <c r="AA107" s="37"/>
    </row>
    <row r="108" spans="1:27" ht="409.5" hidden="1" outlineLevel="1">
      <c r="A108" s="348">
        <v>76</v>
      </c>
      <c r="B108" s="40" t="s">
        <v>332</v>
      </c>
      <c r="C108" s="34" t="s">
        <v>333</v>
      </c>
      <c r="D108" s="40" t="s">
        <v>334</v>
      </c>
      <c r="E108" s="40" t="s">
        <v>335</v>
      </c>
      <c r="F108" s="41" t="s">
        <v>46</v>
      </c>
      <c r="G108" s="331" t="s">
        <v>336</v>
      </c>
      <c r="H108" s="196"/>
      <c r="I108" s="289"/>
      <c r="J108" s="196"/>
      <c r="K108" s="481"/>
      <c r="L108" s="196" t="s">
        <v>1178</v>
      </c>
      <c r="M108" s="514" t="s">
        <v>1326</v>
      </c>
      <c r="N108" s="37"/>
      <c r="O108" s="37"/>
      <c r="P108" s="37"/>
      <c r="Q108" s="37"/>
      <c r="R108" s="37"/>
      <c r="S108" s="37"/>
      <c r="T108" s="37"/>
      <c r="U108" s="37"/>
      <c r="V108" s="37"/>
      <c r="W108" s="37"/>
      <c r="X108" s="37"/>
      <c r="Y108" s="37"/>
      <c r="Z108" s="37"/>
      <c r="AA108" s="37"/>
    </row>
    <row r="109" spans="1:27" ht="356.25" hidden="1" outlineLevel="1">
      <c r="A109" s="348">
        <v>77</v>
      </c>
      <c r="B109" s="40" t="s">
        <v>337</v>
      </c>
      <c r="C109" s="34" t="s">
        <v>338</v>
      </c>
      <c r="D109" s="40" t="s">
        <v>339</v>
      </c>
      <c r="E109" s="40" t="s">
        <v>340</v>
      </c>
      <c r="F109" s="41" t="s">
        <v>46</v>
      </c>
      <c r="G109" s="331" t="s">
        <v>341</v>
      </c>
      <c r="H109" s="196"/>
      <c r="I109" s="289"/>
      <c r="J109" s="196"/>
      <c r="K109" s="481"/>
      <c r="L109" s="196" t="s">
        <v>1178</v>
      </c>
      <c r="M109" s="514" t="s">
        <v>1326</v>
      </c>
      <c r="N109" s="37"/>
      <c r="O109" s="37"/>
      <c r="P109" s="37"/>
      <c r="Q109" s="37"/>
      <c r="R109" s="37"/>
      <c r="S109" s="37"/>
      <c r="T109" s="37"/>
      <c r="U109" s="37"/>
      <c r="V109" s="37"/>
      <c r="W109" s="37"/>
      <c r="X109" s="37"/>
      <c r="Y109" s="37"/>
      <c r="Z109" s="37"/>
      <c r="AA109" s="37"/>
    </row>
    <row r="110" spans="1:27" ht="285" hidden="1" outlineLevel="1">
      <c r="A110" s="348">
        <v>78</v>
      </c>
      <c r="B110" s="40" t="s">
        <v>342</v>
      </c>
      <c r="C110" s="34" t="s">
        <v>343</v>
      </c>
      <c r="D110" s="40" t="s">
        <v>344</v>
      </c>
      <c r="E110" s="40" t="s">
        <v>345</v>
      </c>
      <c r="F110" s="41" t="s">
        <v>46</v>
      </c>
      <c r="G110" s="331" t="s">
        <v>346</v>
      </c>
      <c r="H110" s="196"/>
      <c r="I110" s="289"/>
      <c r="J110" s="196"/>
      <c r="K110" s="481"/>
      <c r="L110" s="196" t="s">
        <v>1178</v>
      </c>
      <c r="M110" s="514" t="s">
        <v>1326</v>
      </c>
      <c r="N110" s="37"/>
      <c r="O110" s="37"/>
      <c r="P110" s="37"/>
      <c r="Q110" s="37"/>
      <c r="R110" s="37"/>
      <c r="S110" s="37"/>
      <c r="T110" s="37"/>
      <c r="U110" s="37"/>
      <c r="V110" s="37"/>
      <c r="W110" s="37"/>
      <c r="X110" s="37"/>
      <c r="Y110" s="37"/>
      <c r="Z110" s="37"/>
      <c r="AA110" s="37"/>
    </row>
    <row r="111" spans="1:27" ht="327.75" hidden="1" outlineLevel="1">
      <c r="A111" s="348">
        <v>79</v>
      </c>
      <c r="B111" s="40" t="s">
        <v>347</v>
      </c>
      <c r="C111" s="34" t="s">
        <v>348</v>
      </c>
      <c r="D111" s="40" t="s">
        <v>349</v>
      </c>
      <c r="E111" s="40" t="s">
        <v>350</v>
      </c>
      <c r="F111" s="41" t="s">
        <v>46</v>
      </c>
      <c r="G111" s="331" t="s">
        <v>351</v>
      </c>
      <c r="H111" s="196"/>
      <c r="I111" s="289"/>
      <c r="J111" s="196"/>
      <c r="K111" s="481"/>
      <c r="L111" s="196" t="s">
        <v>1178</v>
      </c>
      <c r="M111" s="514" t="s">
        <v>1326</v>
      </c>
      <c r="N111" s="37"/>
      <c r="O111" s="37"/>
      <c r="P111" s="37"/>
      <c r="Q111" s="37"/>
      <c r="R111" s="37"/>
      <c r="S111" s="37"/>
      <c r="T111" s="37"/>
      <c r="U111" s="37"/>
      <c r="V111" s="37"/>
      <c r="W111" s="37"/>
      <c r="X111" s="37"/>
      <c r="Y111" s="37"/>
      <c r="Z111" s="37"/>
      <c r="AA111" s="37"/>
    </row>
    <row r="112" spans="1:27" ht="384.75" hidden="1" outlineLevel="1">
      <c r="A112" s="351">
        <v>80</v>
      </c>
      <c r="B112" s="84" t="s">
        <v>352</v>
      </c>
      <c r="C112" s="147" t="s">
        <v>353</v>
      </c>
      <c r="D112" s="84" t="s">
        <v>354</v>
      </c>
      <c r="E112" s="84" t="s">
        <v>355</v>
      </c>
      <c r="F112" s="82" t="s">
        <v>46</v>
      </c>
      <c r="G112" s="332" t="s">
        <v>356</v>
      </c>
      <c r="H112" s="196"/>
      <c r="I112" s="289"/>
      <c r="J112" s="196"/>
      <c r="K112" s="481"/>
      <c r="L112" s="196" t="s">
        <v>1178</v>
      </c>
      <c r="M112" s="513" t="s">
        <v>1326</v>
      </c>
      <c r="N112" s="37"/>
      <c r="O112" s="37"/>
      <c r="P112" s="37"/>
      <c r="Q112" s="37"/>
      <c r="R112" s="37"/>
      <c r="S112" s="37"/>
      <c r="T112" s="37"/>
      <c r="U112" s="37"/>
      <c r="V112" s="37"/>
      <c r="W112" s="37"/>
      <c r="X112" s="37"/>
      <c r="Y112" s="37"/>
      <c r="Z112" s="37"/>
      <c r="AA112" s="37"/>
    </row>
    <row r="113" spans="1:27" ht="15" hidden="1" customHeight="1" collapsed="1">
      <c r="A113" s="261" t="s">
        <v>636</v>
      </c>
      <c r="B113" s="177"/>
      <c r="C113" s="177"/>
      <c r="D113" s="177"/>
      <c r="E113" s="177"/>
      <c r="F113" s="177"/>
      <c r="G113" s="344"/>
      <c r="H113" s="292"/>
      <c r="I113" s="293"/>
      <c r="J113" s="266"/>
      <c r="K113" s="487"/>
      <c r="L113" s="230"/>
      <c r="M113" s="440"/>
      <c r="N113" s="37"/>
      <c r="O113" s="37"/>
      <c r="P113" s="37"/>
      <c r="Q113" s="37"/>
      <c r="R113" s="37"/>
      <c r="S113" s="37"/>
      <c r="T113" s="37"/>
      <c r="U113" s="37"/>
      <c r="V113" s="37"/>
      <c r="W113" s="37"/>
      <c r="X113" s="37"/>
      <c r="Y113" s="37"/>
      <c r="Z113" s="37"/>
      <c r="AA113" s="37"/>
    </row>
    <row r="114" spans="1:27" ht="199.5" hidden="1" outlineLevel="1">
      <c r="A114" s="352"/>
      <c r="B114" s="81" t="s">
        <v>357</v>
      </c>
      <c r="C114" s="81" t="s">
        <v>358</v>
      </c>
      <c r="D114" s="81" t="s">
        <v>359</v>
      </c>
      <c r="E114" s="81" t="s">
        <v>360</v>
      </c>
      <c r="F114" s="97" t="s">
        <v>1175</v>
      </c>
      <c r="G114" s="329" t="s">
        <v>361</v>
      </c>
      <c r="H114" s="196"/>
      <c r="I114" s="289"/>
      <c r="J114" s="196" t="s">
        <v>1182</v>
      </c>
      <c r="K114" s="483" t="s">
        <v>1327</v>
      </c>
      <c r="L114" s="196" t="s">
        <v>1182</v>
      </c>
      <c r="M114" s="200" t="s">
        <v>1337</v>
      </c>
      <c r="N114" s="37"/>
      <c r="O114" s="37"/>
      <c r="P114" s="37"/>
      <c r="Q114" s="37"/>
      <c r="R114" s="37"/>
      <c r="S114" s="37"/>
      <c r="T114" s="37"/>
      <c r="U114" s="37"/>
      <c r="V114" s="37"/>
      <c r="W114" s="37"/>
      <c r="X114" s="37"/>
      <c r="Y114" s="37"/>
      <c r="Z114" s="37"/>
      <c r="AA114" s="37"/>
    </row>
    <row r="115" spans="1:27" ht="15" hidden="1" customHeight="1">
      <c r="A115" s="353" t="s">
        <v>602</v>
      </c>
      <c r="B115" s="150"/>
      <c r="C115" s="150"/>
      <c r="D115" s="150"/>
      <c r="E115" s="150"/>
      <c r="F115" s="150"/>
      <c r="G115" s="354"/>
      <c r="H115" s="238"/>
      <c r="I115" s="239"/>
      <c r="J115" s="238"/>
      <c r="K115" s="491"/>
      <c r="L115" s="238"/>
      <c r="M115" s="445"/>
      <c r="N115" s="44"/>
      <c r="O115" s="44"/>
      <c r="P115" s="44"/>
      <c r="Q115" s="44"/>
      <c r="R115" s="44"/>
      <c r="S115" s="44"/>
      <c r="T115" s="44"/>
      <c r="U115" s="44"/>
      <c r="V115" s="44"/>
      <c r="W115" s="44"/>
      <c r="X115" s="44"/>
      <c r="Y115" s="44"/>
      <c r="Z115" s="44"/>
      <c r="AA115" s="44"/>
    </row>
    <row r="116" spans="1:27" ht="15" hidden="1" customHeight="1" collapsed="1">
      <c r="A116" s="355" t="s">
        <v>638</v>
      </c>
      <c r="B116" s="179"/>
      <c r="C116" s="179"/>
      <c r="D116" s="179"/>
      <c r="E116" s="179"/>
      <c r="F116" s="179"/>
      <c r="G116" s="231"/>
      <c r="H116" s="276"/>
      <c r="I116" s="293"/>
      <c r="J116" s="266"/>
      <c r="K116" s="487"/>
      <c r="L116" s="230"/>
      <c r="M116" s="446"/>
      <c r="S116" s="37"/>
      <c r="T116" s="37"/>
      <c r="U116" s="37"/>
      <c r="V116" s="37"/>
      <c r="W116" s="37"/>
      <c r="X116" s="37"/>
      <c r="Y116" s="37"/>
      <c r="Z116" s="37"/>
      <c r="AA116" s="37"/>
    </row>
    <row r="117" spans="1:27" ht="88.5" hidden="1" customHeight="1" outlineLevel="1">
      <c r="A117" s="352">
        <v>1</v>
      </c>
      <c r="B117" s="81" t="s">
        <v>410</v>
      </c>
      <c r="C117" s="81" t="s">
        <v>411</v>
      </c>
      <c r="D117" s="81" t="s">
        <v>412</v>
      </c>
      <c r="E117" s="81" t="s">
        <v>413</v>
      </c>
      <c r="F117" s="85" t="s">
        <v>1175</v>
      </c>
      <c r="G117" s="329" t="s">
        <v>414</v>
      </c>
      <c r="H117" s="196"/>
      <c r="I117" s="289"/>
      <c r="J117" s="196"/>
      <c r="K117" s="492"/>
      <c r="L117" s="196" t="s">
        <v>1182</v>
      </c>
      <c r="M117" s="515" t="s">
        <v>1328</v>
      </c>
      <c r="S117" s="37"/>
      <c r="T117" s="37"/>
      <c r="U117" s="37"/>
      <c r="V117" s="37"/>
      <c r="W117" s="37"/>
      <c r="X117" s="37"/>
      <c r="Y117" s="37"/>
      <c r="Z117" s="37"/>
      <c r="AA117" s="37"/>
    </row>
    <row r="118" spans="1:27" ht="88.5" hidden="1" customHeight="1" outlineLevel="1">
      <c r="A118" s="348">
        <v>2</v>
      </c>
      <c r="B118" s="40" t="s">
        <v>415</v>
      </c>
      <c r="C118" s="40" t="s">
        <v>416</v>
      </c>
      <c r="D118" s="40" t="s">
        <v>417</v>
      </c>
      <c r="E118" s="40" t="s">
        <v>418</v>
      </c>
      <c r="F118" s="41" t="s">
        <v>46</v>
      </c>
      <c r="G118" s="331" t="s">
        <v>419</v>
      </c>
      <c r="H118" s="196"/>
      <c r="I118" s="289"/>
      <c r="J118" s="196"/>
      <c r="K118" s="492"/>
      <c r="L118" s="196" t="s">
        <v>1182</v>
      </c>
      <c r="M118" s="515" t="s">
        <v>1328</v>
      </c>
      <c r="S118" s="37"/>
      <c r="T118" s="37"/>
      <c r="U118" s="37"/>
      <c r="V118" s="37"/>
      <c r="W118" s="37"/>
      <c r="X118" s="37"/>
      <c r="Y118" s="37"/>
      <c r="Z118" s="37"/>
      <c r="AA118" s="37"/>
    </row>
    <row r="119" spans="1:27" ht="88.5" hidden="1" customHeight="1" outlineLevel="1">
      <c r="A119" s="351">
        <v>3</v>
      </c>
      <c r="B119" s="84" t="s">
        <v>420</v>
      </c>
      <c r="C119" s="84" t="s">
        <v>421</v>
      </c>
      <c r="D119" s="84" t="s">
        <v>422</v>
      </c>
      <c r="E119" s="84" t="s">
        <v>423</v>
      </c>
      <c r="F119" s="113" t="s">
        <v>1175</v>
      </c>
      <c r="G119" s="332" t="s">
        <v>424</v>
      </c>
      <c r="H119" s="196"/>
      <c r="I119" s="289"/>
      <c r="J119" s="196"/>
      <c r="K119" s="492"/>
      <c r="L119" s="196" t="s">
        <v>1182</v>
      </c>
      <c r="M119" s="515" t="s">
        <v>1328</v>
      </c>
      <c r="S119" s="37"/>
      <c r="T119" s="37"/>
      <c r="U119" s="37"/>
      <c r="V119" s="37"/>
      <c r="W119" s="37"/>
      <c r="X119" s="37"/>
      <c r="Y119" s="37"/>
      <c r="Z119" s="37"/>
      <c r="AA119" s="37"/>
    </row>
    <row r="120" spans="1:27" ht="15" hidden="1" customHeight="1" collapsed="1">
      <c r="A120" s="355" t="s">
        <v>425</v>
      </c>
      <c r="B120" s="180"/>
      <c r="C120" s="180"/>
      <c r="D120" s="180"/>
      <c r="E120" s="180"/>
      <c r="F120" s="180"/>
      <c r="G120" s="356"/>
      <c r="H120" s="292"/>
      <c r="I120" s="293"/>
      <c r="J120" s="266"/>
      <c r="K120" s="487"/>
      <c r="L120" s="230"/>
      <c r="M120" s="446"/>
      <c r="S120" s="37"/>
      <c r="T120" s="37"/>
      <c r="U120" s="37"/>
      <c r="V120" s="37"/>
      <c r="W120" s="37"/>
      <c r="X120" s="37"/>
      <c r="Y120" s="37"/>
      <c r="Z120" s="37"/>
      <c r="AA120" s="37"/>
    </row>
    <row r="121" spans="1:27" ht="213.75" hidden="1" outlineLevel="1">
      <c r="A121" s="352">
        <v>1</v>
      </c>
      <c r="B121" s="81" t="s">
        <v>426</v>
      </c>
      <c r="C121" s="81" t="s">
        <v>427</v>
      </c>
      <c r="D121" s="81" t="s">
        <v>428</v>
      </c>
      <c r="E121" s="81" t="s">
        <v>429</v>
      </c>
      <c r="F121" s="85" t="s">
        <v>1175</v>
      </c>
      <c r="G121" s="329" t="s">
        <v>430</v>
      </c>
      <c r="H121" s="196"/>
      <c r="I121" s="289"/>
      <c r="J121" s="196"/>
      <c r="K121" s="481"/>
      <c r="L121" s="196" t="s">
        <v>1178</v>
      </c>
      <c r="M121" s="513" t="s">
        <v>1368</v>
      </c>
      <c r="S121" s="37"/>
      <c r="T121" s="37"/>
      <c r="U121" s="37"/>
      <c r="V121" s="37"/>
      <c r="W121" s="37"/>
      <c r="X121" s="37"/>
      <c r="Y121" s="37"/>
      <c r="Z121" s="37"/>
      <c r="AA121" s="37"/>
    </row>
    <row r="122" spans="1:27" ht="323.45" hidden="1" customHeight="1" outlineLevel="1">
      <c r="A122" s="348">
        <v>2</v>
      </c>
      <c r="B122" s="40" t="s">
        <v>431</v>
      </c>
      <c r="C122" s="40" t="s">
        <v>432</v>
      </c>
      <c r="D122" s="40" t="s">
        <v>433</v>
      </c>
      <c r="E122" s="40" t="s">
        <v>434</v>
      </c>
      <c r="F122" s="41" t="s">
        <v>46</v>
      </c>
      <c r="G122" s="331" t="s">
        <v>435</v>
      </c>
      <c r="H122" s="196"/>
      <c r="I122" s="289"/>
      <c r="J122" s="196"/>
      <c r="K122" s="492"/>
      <c r="L122" s="196" t="s">
        <v>1182</v>
      </c>
      <c r="M122" s="515" t="s">
        <v>1328</v>
      </c>
      <c r="S122" s="37"/>
      <c r="T122" s="37"/>
      <c r="U122" s="37"/>
      <c r="V122" s="37"/>
      <c r="W122" s="37"/>
      <c r="X122" s="37"/>
      <c r="Y122" s="37"/>
      <c r="Z122" s="37"/>
      <c r="AA122" s="37"/>
    </row>
    <row r="123" spans="1:27" ht="185.25" hidden="1" outlineLevel="1">
      <c r="A123" s="348">
        <v>3</v>
      </c>
      <c r="B123" s="40" t="s">
        <v>436</v>
      </c>
      <c r="C123" s="40" t="s">
        <v>437</v>
      </c>
      <c r="D123" s="40" t="s">
        <v>438</v>
      </c>
      <c r="E123" s="40" t="s">
        <v>439</v>
      </c>
      <c r="F123" s="41" t="s">
        <v>46</v>
      </c>
      <c r="G123" s="331" t="s">
        <v>440</v>
      </c>
      <c r="H123" s="196"/>
      <c r="I123" s="289"/>
      <c r="J123" s="196"/>
      <c r="K123" s="492"/>
      <c r="L123" s="196" t="s">
        <v>1182</v>
      </c>
      <c r="M123" s="515" t="s">
        <v>1328</v>
      </c>
      <c r="S123" s="37"/>
      <c r="T123" s="37"/>
      <c r="U123" s="37"/>
      <c r="V123" s="37"/>
      <c r="W123" s="37"/>
      <c r="X123" s="37"/>
      <c r="Y123" s="37"/>
      <c r="Z123" s="37"/>
      <c r="AA123" s="37"/>
    </row>
    <row r="124" spans="1:27" ht="330" hidden="1" customHeight="1" outlineLevel="1">
      <c r="A124" s="348">
        <v>4</v>
      </c>
      <c r="B124" s="40" t="s">
        <v>441</v>
      </c>
      <c r="C124" s="40" t="s">
        <v>442</v>
      </c>
      <c r="D124" s="40" t="s">
        <v>443</v>
      </c>
      <c r="E124" s="40" t="s">
        <v>444</v>
      </c>
      <c r="F124" s="46" t="s">
        <v>1176</v>
      </c>
      <c r="G124" s="331" t="s">
        <v>445</v>
      </c>
      <c r="H124" s="196"/>
      <c r="I124" s="289"/>
      <c r="J124" s="196"/>
      <c r="K124" s="481"/>
      <c r="L124" s="196" t="s">
        <v>1178</v>
      </c>
      <c r="M124" s="513" t="s">
        <v>1376</v>
      </c>
      <c r="S124" s="37"/>
      <c r="T124" s="37"/>
      <c r="U124" s="37"/>
      <c r="V124" s="37"/>
      <c r="W124" s="37"/>
      <c r="X124" s="37"/>
      <c r="Y124" s="37"/>
      <c r="Z124" s="37"/>
      <c r="AA124" s="37"/>
    </row>
    <row r="125" spans="1:27" ht="299.25" hidden="1" outlineLevel="1">
      <c r="A125" s="351">
        <v>5</v>
      </c>
      <c r="B125" s="84" t="s">
        <v>446</v>
      </c>
      <c r="C125" s="84" t="s">
        <v>447</v>
      </c>
      <c r="D125" s="84" t="s">
        <v>448</v>
      </c>
      <c r="E125" s="84" t="s">
        <v>449</v>
      </c>
      <c r="F125" s="141" t="s">
        <v>1176</v>
      </c>
      <c r="G125" s="332" t="s">
        <v>450</v>
      </c>
      <c r="H125" s="196"/>
      <c r="I125" s="289"/>
      <c r="J125" s="196"/>
      <c r="K125" s="481"/>
      <c r="L125" s="196" t="s">
        <v>1178</v>
      </c>
      <c r="M125" s="513" t="s">
        <v>1375</v>
      </c>
      <c r="S125" s="37"/>
      <c r="T125" s="37"/>
      <c r="U125" s="37"/>
      <c r="V125" s="37"/>
      <c r="W125" s="37"/>
      <c r="X125" s="37"/>
      <c r="Y125" s="37"/>
      <c r="Z125" s="37"/>
      <c r="AA125" s="37"/>
    </row>
    <row r="126" spans="1:27" ht="15" hidden="1" customHeight="1" collapsed="1">
      <c r="A126" s="355" t="s">
        <v>451</v>
      </c>
      <c r="B126" s="180"/>
      <c r="C126" s="180"/>
      <c r="D126" s="180"/>
      <c r="E126" s="180"/>
      <c r="F126" s="180"/>
      <c r="G126" s="356"/>
      <c r="H126" s="292"/>
      <c r="I126" s="293"/>
      <c r="J126" s="266"/>
      <c r="K126" s="487"/>
      <c r="L126" s="230"/>
      <c r="M126" s="446"/>
      <c r="S126" s="37"/>
      <c r="T126" s="37"/>
      <c r="U126" s="37"/>
      <c r="V126" s="37"/>
      <c r="W126" s="37"/>
      <c r="X126" s="37"/>
      <c r="Y126" s="37"/>
      <c r="Z126" s="37"/>
      <c r="AA126" s="37"/>
    </row>
    <row r="127" spans="1:27" ht="399" hidden="1" outlineLevel="1">
      <c r="A127" s="352">
        <v>2</v>
      </c>
      <c r="B127" s="81" t="s">
        <v>452</v>
      </c>
      <c r="C127" s="81" t="s">
        <v>453</v>
      </c>
      <c r="D127" s="81" t="s">
        <v>454</v>
      </c>
      <c r="E127" s="81" t="s">
        <v>455</v>
      </c>
      <c r="F127" s="85" t="s">
        <v>1175</v>
      </c>
      <c r="G127" s="329" t="s">
        <v>456</v>
      </c>
      <c r="H127" s="196"/>
      <c r="I127" s="289"/>
      <c r="J127" s="196"/>
      <c r="K127" s="493"/>
      <c r="L127" s="196" t="s">
        <v>1182</v>
      </c>
      <c r="M127" s="516" t="s">
        <v>1328</v>
      </c>
      <c r="S127" s="37"/>
      <c r="T127" s="37"/>
      <c r="U127" s="37"/>
      <c r="V127" s="37"/>
      <c r="W127" s="37"/>
      <c r="X127" s="37"/>
      <c r="Y127" s="37"/>
      <c r="Z127" s="37"/>
      <c r="AA127" s="37"/>
    </row>
    <row r="128" spans="1:27" ht="356.25" hidden="1" outlineLevel="1">
      <c r="A128" s="348">
        <v>3</v>
      </c>
      <c r="B128" s="40" t="s">
        <v>457</v>
      </c>
      <c r="C128" s="40" t="s">
        <v>458</v>
      </c>
      <c r="D128" s="40" t="s">
        <v>459</v>
      </c>
      <c r="E128" s="40" t="s">
        <v>460</v>
      </c>
      <c r="F128" s="43" t="s">
        <v>1175</v>
      </c>
      <c r="G128" s="331" t="s">
        <v>461</v>
      </c>
      <c r="H128" s="196"/>
      <c r="I128" s="289"/>
      <c r="J128" s="196"/>
      <c r="K128" s="493"/>
      <c r="L128" s="196" t="s">
        <v>1182</v>
      </c>
      <c r="M128" s="516" t="s">
        <v>1328</v>
      </c>
      <c r="S128" s="37"/>
      <c r="T128" s="37"/>
      <c r="U128" s="37"/>
      <c r="V128" s="37"/>
      <c r="W128" s="37"/>
      <c r="X128" s="37"/>
      <c r="Y128" s="37"/>
      <c r="Z128" s="37"/>
      <c r="AA128" s="37"/>
    </row>
    <row r="129" spans="1:27" ht="409.5" hidden="1" outlineLevel="1">
      <c r="A129" s="348">
        <v>4</v>
      </c>
      <c r="B129" s="40" t="s">
        <v>462</v>
      </c>
      <c r="C129" s="40" t="s">
        <v>463</v>
      </c>
      <c r="D129" s="40" t="s">
        <v>464</v>
      </c>
      <c r="E129" s="40" t="s">
        <v>465</v>
      </c>
      <c r="F129" s="41" t="s">
        <v>46</v>
      </c>
      <c r="G129" s="331" t="s">
        <v>466</v>
      </c>
      <c r="H129" s="196"/>
      <c r="I129" s="289"/>
      <c r="J129" s="196"/>
      <c r="K129" s="493"/>
      <c r="L129" s="196" t="s">
        <v>1182</v>
      </c>
      <c r="M129" s="516" t="s">
        <v>1328</v>
      </c>
      <c r="S129" s="37"/>
      <c r="T129" s="37"/>
      <c r="U129" s="37"/>
      <c r="V129" s="37"/>
      <c r="W129" s="37"/>
      <c r="X129" s="37"/>
      <c r="Y129" s="37"/>
      <c r="Z129" s="37"/>
      <c r="AA129" s="37"/>
    </row>
    <row r="130" spans="1:27" ht="342" hidden="1" outlineLevel="1">
      <c r="A130" s="351">
        <v>5</v>
      </c>
      <c r="B130" s="84" t="s">
        <v>467</v>
      </c>
      <c r="C130" s="84" t="s">
        <v>468</v>
      </c>
      <c r="D130" s="84" t="s">
        <v>469</v>
      </c>
      <c r="E130" s="84" t="s">
        <v>470</v>
      </c>
      <c r="F130" s="82" t="s">
        <v>46</v>
      </c>
      <c r="G130" s="332" t="s">
        <v>471</v>
      </c>
      <c r="H130" s="196"/>
      <c r="I130" s="289"/>
      <c r="J130" s="196"/>
      <c r="K130" s="493"/>
      <c r="L130" s="196" t="s">
        <v>1182</v>
      </c>
      <c r="M130" s="198" t="s">
        <v>1369</v>
      </c>
      <c r="S130" s="37"/>
      <c r="T130" s="37"/>
      <c r="U130" s="37"/>
      <c r="V130" s="37"/>
      <c r="W130" s="37"/>
      <c r="X130" s="37"/>
      <c r="Y130" s="37"/>
      <c r="Z130" s="37"/>
      <c r="AA130" s="37"/>
    </row>
    <row r="131" spans="1:27" ht="15" hidden="1" customHeight="1" collapsed="1">
      <c r="A131" s="355" t="s">
        <v>472</v>
      </c>
      <c r="B131" s="180"/>
      <c r="C131" s="180"/>
      <c r="D131" s="180"/>
      <c r="E131" s="180"/>
      <c r="F131" s="180"/>
      <c r="G131" s="356"/>
      <c r="H131" s="292"/>
      <c r="I131" s="293"/>
      <c r="J131" s="266"/>
      <c r="K131" s="487"/>
      <c r="L131" s="230"/>
      <c r="M131" s="446"/>
      <c r="S131" s="37"/>
      <c r="T131" s="37"/>
      <c r="U131" s="37"/>
      <c r="V131" s="37"/>
      <c r="W131" s="37"/>
      <c r="X131" s="37"/>
      <c r="Y131" s="37"/>
      <c r="Z131" s="37"/>
      <c r="AA131" s="37"/>
    </row>
    <row r="132" spans="1:27" ht="409.5" hidden="1" outlineLevel="1">
      <c r="A132" s="357">
        <v>1</v>
      </c>
      <c r="B132" s="108" t="s">
        <v>473</v>
      </c>
      <c r="C132" s="108" t="s">
        <v>474</v>
      </c>
      <c r="D132" s="108" t="s">
        <v>475</v>
      </c>
      <c r="E132" s="108" t="s">
        <v>476</v>
      </c>
      <c r="F132" s="146" t="s">
        <v>1175</v>
      </c>
      <c r="G132" s="338" t="s">
        <v>477</v>
      </c>
      <c r="H132" s="196"/>
      <c r="I132" s="289"/>
      <c r="J132" s="196"/>
      <c r="K132" s="493"/>
      <c r="L132" s="196" t="s">
        <v>1182</v>
      </c>
      <c r="M132" s="516" t="s">
        <v>1328</v>
      </c>
      <c r="S132" s="37"/>
      <c r="T132" s="37"/>
      <c r="U132" s="37"/>
      <c r="V132" s="37"/>
      <c r="W132" s="37"/>
      <c r="X132" s="37"/>
      <c r="Y132" s="37"/>
      <c r="Z132" s="37"/>
      <c r="AA132" s="37"/>
    </row>
    <row r="133" spans="1:27" ht="15" hidden="1" customHeight="1" collapsed="1">
      <c r="A133" s="355" t="s">
        <v>478</v>
      </c>
      <c r="B133" s="180"/>
      <c r="C133" s="180"/>
      <c r="D133" s="180"/>
      <c r="E133" s="180"/>
      <c r="F133" s="180"/>
      <c r="G133" s="356"/>
      <c r="H133" s="292"/>
      <c r="I133" s="293"/>
      <c r="J133" s="266"/>
      <c r="K133" s="487"/>
      <c r="L133" s="230"/>
      <c r="M133" s="446"/>
      <c r="S133" s="37"/>
      <c r="T133" s="37"/>
      <c r="U133" s="37"/>
      <c r="V133" s="37"/>
      <c r="W133" s="37"/>
      <c r="X133" s="37"/>
      <c r="Y133" s="37"/>
      <c r="Z133" s="37"/>
      <c r="AA133" s="37"/>
    </row>
    <row r="134" spans="1:27" ht="150" hidden="1" customHeight="1" outlineLevel="1">
      <c r="A134" s="352">
        <v>1</v>
      </c>
      <c r="B134" s="81" t="s">
        <v>479</v>
      </c>
      <c r="C134" s="81" t="s">
        <v>480</v>
      </c>
      <c r="D134" s="81" t="s">
        <v>481</v>
      </c>
      <c r="E134" s="81" t="s">
        <v>482</v>
      </c>
      <c r="F134" s="100" t="s">
        <v>56</v>
      </c>
      <c r="G134" s="329" t="s">
        <v>483</v>
      </c>
      <c r="H134" s="196"/>
      <c r="I134" s="289"/>
      <c r="J134" s="196"/>
      <c r="K134" s="493"/>
      <c r="L134" s="196" t="s">
        <v>1182</v>
      </c>
      <c r="M134" s="516" t="s">
        <v>1328</v>
      </c>
      <c r="S134" s="37"/>
      <c r="T134" s="37"/>
      <c r="U134" s="37"/>
      <c r="V134" s="37"/>
      <c r="W134" s="37"/>
      <c r="X134" s="37"/>
      <c r="Y134" s="37"/>
      <c r="Z134" s="37"/>
      <c r="AA134" s="37"/>
    </row>
    <row r="135" spans="1:27" ht="409.15" hidden="1" customHeight="1" outlineLevel="1">
      <c r="A135" s="348">
        <v>2</v>
      </c>
      <c r="B135" s="40" t="s">
        <v>484</v>
      </c>
      <c r="C135" s="40" t="s">
        <v>485</v>
      </c>
      <c r="D135" s="40" t="s">
        <v>486</v>
      </c>
      <c r="E135" s="40" t="s">
        <v>487</v>
      </c>
      <c r="F135" s="46" t="s">
        <v>1177</v>
      </c>
      <c r="G135" s="331" t="s">
        <v>488</v>
      </c>
      <c r="H135" s="196"/>
      <c r="I135" s="289"/>
      <c r="J135" s="196"/>
      <c r="K135" s="493"/>
      <c r="L135" s="196" t="s">
        <v>1182</v>
      </c>
      <c r="M135" s="516" t="s">
        <v>1328</v>
      </c>
      <c r="S135" s="37"/>
      <c r="T135" s="37"/>
      <c r="U135" s="37"/>
      <c r="V135" s="37"/>
      <c r="W135" s="37"/>
      <c r="X135" s="37"/>
      <c r="Y135" s="37"/>
      <c r="Z135" s="37"/>
      <c r="AA135" s="37"/>
    </row>
    <row r="136" spans="1:27" ht="228.6" hidden="1" customHeight="1" outlineLevel="1">
      <c r="A136" s="348">
        <v>3</v>
      </c>
      <c r="B136" s="40" t="s">
        <v>489</v>
      </c>
      <c r="C136" s="40" t="s">
        <v>490</v>
      </c>
      <c r="D136" s="40" t="s">
        <v>491</v>
      </c>
      <c r="E136" s="40" t="s">
        <v>492</v>
      </c>
      <c r="F136" s="46" t="s">
        <v>1176</v>
      </c>
      <c r="G136" s="331" t="s">
        <v>493</v>
      </c>
      <c r="H136" s="196"/>
      <c r="I136" s="289"/>
      <c r="J136" s="196"/>
      <c r="K136" s="493"/>
      <c r="L136" s="196" t="s">
        <v>1182</v>
      </c>
      <c r="M136" s="516" t="s">
        <v>1328</v>
      </c>
      <c r="S136" s="37"/>
      <c r="T136" s="37"/>
      <c r="U136" s="37"/>
      <c r="V136" s="37"/>
      <c r="W136" s="37"/>
      <c r="X136" s="37"/>
      <c r="Y136" s="37"/>
      <c r="Z136" s="37"/>
      <c r="AA136" s="37"/>
    </row>
    <row r="137" spans="1:27" ht="408" hidden="1" customHeight="1" outlineLevel="1">
      <c r="A137" s="351">
        <v>4</v>
      </c>
      <c r="B137" s="84" t="s">
        <v>494</v>
      </c>
      <c r="C137" s="84" t="s">
        <v>495</v>
      </c>
      <c r="D137" s="84" t="s">
        <v>496</v>
      </c>
      <c r="E137" s="84" t="s">
        <v>497</v>
      </c>
      <c r="F137" s="113" t="s">
        <v>1175</v>
      </c>
      <c r="G137" s="332" t="s">
        <v>498</v>
      </c>
      <c r="H137" s="196"/>
      <c r="I137" s="289"/>
      <c r="J137" s="196"/>
      <c r="K137" s="493"/>
      <c r="L137" s="196" t="s">
        <v>1182</v>
      </c>
      <c r="M137" s="516" t="s">
        <v>1328</v>
      </c>
      <c r="S137" s="37"/>
      <c r="T137" s="37"/>
      <c r="U137" s="37"/>
      <c r="V137" s="37"/>
      <c r="W137" s="37"/>
      <c r="X137" s="37"/>
      <c r="Y137" s="37"/>
      <c r="Z137" s="37"/>
      <c r="AA137" s="37"/>
    </row>
    <row r="138" spans="1:27" ht="15" hidden="1" customHeight="1" collapsed="1">
      <c r="A138" s="355" t="s">
        <v>499</v>
      </c>
      <c r="B138" s="180"/>
      <c r="C138" s="180"/>
      <c r="D138" s="180"/>
      <c r="E138" s="180"/>
      <c r="F138" s="180"/>
      <c r="G138" s="356"/>
      <c r="H138" s="292"/>
      <c r="I138" s="293"/>
      <c r="J138" s="266"/>
      <c r="K138" s="487"/>
      <c r="L138" s="230"/>
      <c r="M138" s="446"/>
      <c r="S138" s="37"/>
      <c r="T138" s="37"/>
      <c r="U138" s="37"/>
      <c r="V138" s="37"/>
      <c r="W138" s="37"/>
      <c r="X138" s="37"/>
      <c r="Y138" s="37"/>
      <c r="Z138" s="37"/>
      <c r="AA138" s="37"/>
    </row>
    <row r="139" spans="1:27" ht="213.75" hidden="1" outlineLevel="1">
      <c r="A139" s="352">
        <v>1</v>
      </c>
      <c r="B139" s="81" t="s">
        <v>500</v>
      </c>
      <c r="C139" s="81" t="s">
        <v>501</v>
      </c>
      <c r="D139" s="81" t="s">
        <v>502</v>
      </c>
      <c r="E139" s="81" t="s">
        <v>503</v>
      </c>
      <c r="F139" s="145" t="s">
        <v>1176</v>
      </c>
      <c r="G139" s="329" t="s">
        <v>504</v>
      </c>
      <c r="H139" s="196"/>
      <c r="I139" s="289"/>
      <c r="J139" s="196"/>
      <c r="K139" s="483"/>
      <c r="L139" s="196" t="s">
        <v>1178</v>
      </c>
      <c r="M139" s="512" t="s">
        <v>1370</v>
      </c>
      <c r="S139" s="37"/>
      <c r="T139" s="37"/>
      <c r="U139" s="37"/>
      <c r="V139" s="37"/>
      <c r="W139" s="37"/>
      <c r="X139" s="37"/>
      <c r="Y139" s="37"/>
      <c r="Z139" s="37"/>
      <c r="AA139" s="37"/>
    </row>
    <row r="140" spans="1:27" ht="242.25" hidden="1" outlineLevel="1">
      <c r="A140" s="351">
        <v>2</v>
      </c>
      <c r="B140" s="84" t="s">
        <v>505</v>
      </c>
      <c r="C140" s="84" t="s">
        <v>506</v>
      </c>
      <c r="D140" s="84" t="s">
        <v>507</v>
      </c>
      <c r="E140" s="84" t="s">
        <v>508</v>
      </c>
      <c r="F140" s="141" t="s">
        <v>1176</v>
      </c>
      <c r="G140" s="332" t="s">
        <v>509</v>
      </c>
      <c r="H140" s="196"/>
      <c r="I140" s="289"/>
      <c r="J140" s="196"/>
      <c r="K140" s="493"/>
      <c r="L140" s="196" t="s">
        <v>1182</v>
      </c>
      <c r="M140" s="516" t="s">
        <v>1328</v>
      </c>
      <c r="S140" s="37"/>
      <c r="T140" s="37"/>
      <c r="U140" s="37"/>
      <c r="V140" s="37"/>
      <c r="W140" s="37"/>
      <c r="X140" s="37"/>
      <c r="Y140" s="37"/>
      <c r="Z140" s="37"/>
      <c r="AA140" s="37"/>
    </row>
    <row r="141" spans="1:27" ht="15" hidden="1" customHeight="1" collapsed="1">
      <c r="A141" s="355" t="s">
        <v>510</v>
      </c>
      <c r="B141" s="180"/>
      <c r="C141" s="180"/>
      <c r="D141" s="180"/>
      <c r="E141" s="180"/>
      <c r="F141" s="180"/>
      <c r="G141" s="356"/>
      <c r="H141" s="292"/>
      <c r="I141" s="293"/>
      <c r="J141" s="266"/>
      <c r="K141" s="487"/>
      <c r="L141" s="230"/>
      <c r="M141" s="446"/>
      <c r="S141" s="37"/>
      <c r="T141" s="37"/>
      <c r="U141" s="37"/>
      <c r="V141" s="37"/>
      <c r="W141" s="37"/>
      <c r="X141" s="37"/>
      <c r="Y141" s="37"/>
      <c r="Z141" s="37"/>
      <c r="AA141" s="37"/>
    </row>
    <row r="142" spans="1:27" ht="199.5" hidden="1" outlineLevel="1">
      <c r="A142" s="352">
        <v>2</v>
      </c>
      <c r="B142" s="81" t="s">
        <v>511</v>
      </c>
      <c r="C142" s="81" t="s">
        <v>512</v>
      </c>
      <c r="D142" s="81" t="s">
        <v>513</v>
      </c>
      <c r="E142" s="81" t="s">
        <v>637</v>
      </c>
      <c r="F142" s="86" t="s">
        <v>46</v>
      </c>
      <c r="G142" s="329" t="s">
        <v>514</v>
      </c>
      <c r="H142" s="196"/>
      <c r="I142" s="289"/>
      <c r="J142" s="196"/>
      <c r="K142" s="483"/>
      <c r="L142" s="196" t="s">
        <v>1178</v>
      </c>
      <c r="M142" s="512" t="s">
        <v>1329</v>
      </c>
      <c r="S142" s="37"/>
      <c r="T142" s="37"/>
      <c r="U142" s="37"/>
      <c r="V142" s="37"/>
      <c r="W142" s="37"/>
      <c r="X142" s="37"/>
      <c r="Y142" s="37"/>
      <c r="Z142" s="37"/>
      <c r="AA142" s="37"/>
    </row>
    <row r="143" spans="1:27" ht="199.5" hidden="1" outlineLevel="1">
      <c r="A143" s="348">
        <v>3</v>
      </c>
      <c r="B143" s="40" t="s">
        <v>515</v>
      </c>
      <c r="C143" s="40" t="s">
        <v>516</v>
      </c>
      <c r="D143" s="40" t="s">
        <v>517</v>
      </c>
      <c r="E143" s="40" t="s">
        <v>518</v>
      </c>
      <c r="F143" s="43" t="s">
        <v>1175</v>
      </c>
      <c r="G143" s="331" t="s">
        <v>519</v>
      </c>
      <c r="H143" s="196"/>
      <c r="I143" s="289"/>
      <c r="J143" s="196"/>
      <c r="K143" s="481"/>
      <c r="L143" s="196" t="s">
        <v>1178</v>
      </c>
      <c r="M143" s="514" t="s">
        <v>1330</v>
      </c>
      <c r="S143" s="37"/>
      <c r="T143" s="37"/>
      <c r="U143" s="37"/>
      <c r="V143" s="37"/>
      <c r="W143" s="37"/>
      <c r="X143" s="37"/>
      <c r="Y143" s="37"/>
      <c r="Z143" s="37"/>
      <c r="AA143" s="37"/>
    </row>
    <row r="144" spans="1:27" ht="199.5" hidden="1" outlineLevel="1">
      <c r="A144" s="348">
        <v>4</v>
      </c>
      <c r="B144" s="40" t="s">
        <v>520</v>
      </c>
      <c r="C144" s="40" t="s">
        <v>521</v>
      </c>
      <c r="D144" s="40" t="s">
        <v>522</v>
      </c>
      <c r="E144" s="40" t="s">
        <v>523</v>
      </c>
      <c r="F144" s="43" t="s">
        <v>1175</v>
      </c>
      <c r="G144" s="331" t="s">
        <v>524</v>
      </c>
      <c r="H144" s="196"/>
      <c r="I144" s="289"/>
      <c r="J144" s="196"/>
      <c r="K144" s="481"/>
      <c r="L144" s="196" t="s">
        <v>1178</v>
      </c>
      <c r="M144" s="514" t="s">
        <v>1331</v>
      </c>
      <c r="S144" s="37"/>
      <c r="T144" s="37"/>
      <c r="U144" s="37"/>
      <c r="V144" s="37"/>
      <c r="W144" s="37"/>
      <c r="X144" s="37"/>
      <c r="Y144" s="37"/>
      <c r="Z144" s="37"/>
      <c r="AA144" s="37"/>
    </row>
    <row r="145" spans="1:27" ht="142.5" hidden="1" outlineLevel="1">
      <c r="A145" s="348">
        <v>7</v>
      </c>
      <c r="B145" s="40" t="s">
        <v>511</v>
      </c>
      <c r="C145" s="84" t="s">
        <v>525</v>
      </c>
      <c r="D145" s="84" t="s">
        <v>526</v>
      </c>
      <c r="E145" s="84" t="s">
        <v>527</v>
      </c>
      <c r="F145" s="141" t="s">
        <v>1176</v>
      </c>
      <c r="G145" s="332" t="s">
        <v>528</v>
      </c>
      <c r="H145" s="241"/>
      <c r="I145" s="299"/>
      <c r="J145" s="241"/>
      <c r="K145" s="483"/>
      <c r="L145" s="196" t="s">
        <v>1182</v>
      </c>
      <c r="M145" s="512" t="s">
        <v>1328</v>
      </c>
      <c r="S145" s="37"/>
      <c r="T145" s="37"/>
      <c r="U145" s="37"/>
      <c r="V145" s="37"/>
      <c r="W145" s="37"/>
      <c r="X145" s="37"/>
      <c r="Y145" s="37"/>
      <c r="Z145" s="37"/>
      <c r="AA145" s="37"/>
    </row>
    <row r="146" spans="1:27" ht="15" hidden="1" customHeight="1">
      <c r="A146" s="358" t="s">
        <v>529</v>
      </c>
      <c r="B146" s="181"/>
      <c r="C146" s="182"/>
      <c r="D146" s="182"/>
      <c r="E146" s="182"/>
      <c r="F146" s="182"/>
      <c r="G146" s="359"/>
      <c r="H146" s="300"/>
      <c r="I146" s="301"/>
      <c r="J146" s="270"/>
      <c r="K146" s="494"/>
      <c r="L146" s="242"/>
      <c r="M146" s="447"/>
      <c r="S146" s="37"/>
      <c r="T146" s="37"/>
      <c r="U146" s="37"/>
      <c r="V146" s="37"/>
      <c r="W146" s="37"/>
      <c r="X146" s="37"/>
      <c r="Y146" s="37"/>
      <c r="Z146" s="37"/>
      <c r="AA146" s="37"/>
    </row>
    <row r="147" spans="1:27" ht="15" hidden="1" customHeight="1" collapsed="1">
      <c r="A147" s="355" t="s">
        <v>530</v>
      </c>
      <c r="B147" s="180"/>
      <c r="C147" s="183"/>
      <c r="D147" s="183"/>
      <c r="E147" s="183"/>
      <c r="F147" s="183"/>
      <c r="G147" s="360"/>
      <c r="H147" s="302"/>
      <c r="I147" s="303"/>
      <c r="J147" s="271"/>
      <c r="K147" s="495"/>
      <c r="L147" s="244"/>
      <c r="M147" s="448"/>
      <c r="S147" s="37"/>
      <c r="T147" s="37"/>
      <c r="U147" s="37"/>
      <c r="V147" s="37"/>
      <c r="W147" s="37"/>
      <c r="X147" s="37"/>
      <c r="Y147" s="37"/>
      <c r="Z147" s="37"/>
      <c r="AA147" s="37"/>
    </row>
    <row r="148" spans="1:27" ht="249.6" hidden="1" customHeight="1" outlineLevel="1">
      <c r="A148" s="361">
        <v>1</v>
      </c>
      <c r="B148" s="139" t="s">
        <v>531</v>
      </c>
      <c r="C148" s="139" t="s">
        <v>532</v>
      </c>
      <c r="D148" s="139" t="s">
        <v>533</v>
      </c>
      <c r="E148" s="139" t="s">
        <v>534</v>
      </c>
      <c r="F148" s="85" t="s">
        <v>1175</v>
      </c>
      <c r="G148" s="362" t="s">
        <v>535</v>
      </c>
      <c r="H148" s="196"/>
      <c r="I148" s="289"/>
      <c r="J148" s="196"/>
      <c r="K148" s="481"/>
      <c r="L148" s="196" t="s">
        <v>1182</v>
      </c>
      <c r="M148" s="513" t="s">
        <v>1332</v>
      </c>
      <c r="S148" s="37"/>
      <c r="T148" s="37"/>
      <c r="U148" s="37"/>
      <c r="V148" s="37"/>
      <c r="W148" s="37"/>
      <c r="X148" s="37"/>
      <c r="Y148" s="37"/>
      <c r="Z148" s="37"/>
      <c r="AA148" s="37"/>
    </row>
    <row r="149" spans="1:27" ht="84.75" hidden="1" customHeight="1" outlineLevel="1">
      <c r="A149" s="363">
        <v>2</v>
      </c>
      <c r="B149" s="47" t="s">
        <v>536</v>
      </c>
      <c r="C149" s="47" t="s">
        <v>537</v>
      </c>
      <c r="D149" s="47" t="s">
        <v>538</v>
      </c>
      <c r="E149" s="47" t="s">
        <v>539</v>
      </c>
      <c r="F149" s="43" t="s">
        <v>1175</v>
      </c>
      <c r="G149" s="364" t="s">
        <v>540</v>
      </c>
      <c r="H149" s="196"/>
      <c r="I149" s="289"/>
      <c r="J149" s="196"/>
      <c r="K149" s="481"/>
      <c r="L149" s="196" t="s">
        <v>1178</v>
      </c>
      <c r="M149" s="513" t="s">
        <v>1373</v>
      </c>
      <c r="S149" s="37"/>
      <c r="T149" s="37"/>
      <c r="U149" s="37"/>
      <c r="V149" s="37"/>
      <c r="W149" s="37"/>
      <c r="X149" s="37"/>
      <c r="Y149" s="37"/>
      <c r="Z149" s="37"/>
      <c r="AA149" s="37"/>
    </row>
    <row r="150" spans="1:27" ht="84.75" hidden="1" customHeight="1" outlineLevel="1">
      <c r="A150" s="363">
        <v>3</v>
      </c>
      <c r="B150" s="47" t="s">
        <v>541</v>
      </c>
      <c r="C150" s="47" t="s">
        <v>542</v>
      </c>
      <c r="D150" s="47" t="s">
        <v>543</v>
      </c>
      <c r="E150" s="47" t="s">
        <v>544</v>
      </c>
      <c r="F150" s="43" t="s">
        <v>1175</v>
      </c>
      <c r="G150" s="364" t="s">
        <v>545</v>
      </c>
      <c r="H150" s="196"/>
      <c r="I150" s="289"/>
      <c r="J150" s="196"/>
      <c r="K150" s="481"/>
      <c r="L150" s="196" t="s">
        <v>1178</v>
      </c>
      <c r="M150" s="513" t="s">
        <v>1374</v>
      </c>
      <c r="S150" s="37"/>
      <c r="T150" s="37"/>
      <c r="U150" s="37"/>
      <c r="V150" s="37"/>
      <c r="W150" s="37"/>
      <c r="X150" s="37"/>
      <c r="Y150" s="37"/>
      <c r="Z150" s="37"/>
      <c r="AA150" s="37"/>
    </row>
    <row r="151" spans="1:27" ht="327.60000000000002" hidden="1" customHeight="1" outlineLevel="1">
      <c r="A151" s="363">
        <v>4</v>
      </c>
      <c r="B151" s="47" t="s">
        <v>546</v>
      </c>
      <c r="C151" s="47" t="s">
        <v>547</v>
      </c>
      <c r="D151" s="47" t="s">
        <v>548</v>
      </c>
      <c r="E151" s="47" t="s">
        <v>549</v>
      </c>
      <c r="F151" s="43" t="s">
        <v>1175</v>
      </c>
      <c r="G151" s="364" t="s">
        <v>550</v>
      </c>
      <c r="H151" s="196"/>
      <c r="I151" s="289"/>
      <c r="J151" s="196"/>
      <c r="K151" s="493"/>
      <c r="L151" s="196" t="s">
        <v>1182</v>
      </c>
      <c r="M151" s="516" t="s">
        <v>1328</v>
      </c>
      <c r="S151" s="37"/>
      <c r="T151" s="37"/>
      <c r="U151" s="37"/>
      <c r="V151" s="37"/>
      <c r="W151" s="37"/>
      <c r="X151" s="37"/>
      <c r="Y151" s="37"/>
      <c r="Z151" s="37"/>
      <c r="AA151" s="37"/>
    </row>
    <row r="152" spans="1:27" ht="409.6" hidden="1" customHeight="1" outlineLevel="1">
      <c r="A152" s="365">
        <v>5</v>
      </c>
      <c r="B152" s="48" t="s">
        <v>551</v>
      </c>
      <c r="C152" s="48" t="s">
        <v>552</v>
      </c>
      <c r="D152" s="48" t="s">
        <v>553</v>
      </c>
      <c r="E152" s="48" t="s">
        <v>554</v>
      </c>
      <c r="F152" s="46" t="s">
        <v>1176</v>
      </c>
      <c r="G152" s="366" t="s">
        <v>555</v>
      </c>
      <c r="H152" s="196"/>
      <c r="I152" s="289"/>
      <c r="J152" s="196"/>
      <c r="K152" s="493"/>
      <c r="L152" s="196" t="s">
        <v>1182</v>
      </c>
      <c r="M152" s="516" t="s">
        <v>1328</v>
      </c>
      <c r="S152" s="37"/>
      <c r="T152" s="37"/>
      <c r="U152" s="37"/>
      <c r="V152" s="37"/>
      <c r="W152" s="37"/>
      <c r="X152" s="37"/>
      <c r="Y152" s="37"/>
      <c r="Z152" s="37"/>
      <c r="AA152" s="37"/>
    </row>
    <row r="153" spans="1:27" ht="319.14999999999998" hidden="1" customHeight="1" outlineLevel="1">
      <c r="A153" s="367">
        <v>6</v>
      </c>
      <c r="B153" s="49" t="s">
        <v>556</v>
      </c>
      <c r="C153" s="49" t="s">
        <v>557</v>
      </c>
      <c r="D153" s="49" t="s">
        <v>558</v>
      </c>
      <c r="E153" s="49" t="s">
        <v>559</v>
      </c>
      <c r="F153" s="46" t="s">
        <v>1176</v>
      </c>
      <c r="G153" s="368" t="s">
        <v>560</v>
      </c>
      <c r="H153" s="196"/>
      <c r="I153" s="289"/>
      <c r="J153" s="196"/>
      <c r="K153" s="481"/>
      <c r="L153" s="196" t="s">
        <v>1178</v>
      </c>
      <c r="M153" s="513" t="s">
        <v>1372</v>
      </c>
      <c r="S153" s="37"/>
      <c r="T153" s="37"/>
      <c r="U153" s="37"/>
      <c r="V153" s="37"/>
      <c r="W153" s="37"/>
      <c r="X153" s="37"/>
      <c r="Y153" s="37"/>
      <c r="Z153" s="37"/>
      <c r="AA153" s="37"/>
    </row>
    <row r="154" spans="1:27" ht="238.15" hidden="1" customHeight="1" outlineLevel="1">
      <c r="A154" s="369">
        <v>7</v>
      </c>
      <c r="B154" s="143" t="s">
        <v>561</v>
      </c>
      <c r="C154" s="143" t="s">
        <v>562</v>
      </c>
      <c r="D154" s="143" t="s">
        <v>563</v>
      </c>
      <c r="E154" s="143" t="s">
        <v>564</v>
      </c>
      <c r="F154" s="141" t="s">
        <v>1176</v>
      </c>
      <c r="G154" s="370" t="s">
        <v>565</v>
      </c>
      <c r="H154" s="196"/>
      <c r="I154" s="289"/>
      <c r="J154" s="196"/>
      <c r="K154" s="493"/>
      <c r="L154" s="196" t="s">
        <v>1182</v>
      </c>
      <c r="M154" s="516" t="s">
        <v>1328</v>
      </c>
      <c r="S154" s="37"/>
      <c r="T154" s="37"/>
      <c r="U154" s="37"/>
      <c r="V154" s="37"/>
      <c r="W154" s="37"/>
      <c r="X154" s="37"/>
      <c r="Y154" s="37"/>
      <c r="Z154" s="37"/>
      <c r="AA154" s="37"/>
    </row>
    <row r="155" spans="1:27" ht="15" hidden="1" customHeight="1" collapsed="1">
      <c r="A155" s="355" t="s">
        <v>566</v>
      </c>
      <c r="B155" s="180"/>
      <c r="C155" s="180"/>
      <c r="D155" s="180"/>
      <c r="E155" s="180"/>
      <c r="F155" s="180"/>
      <c r="G155" s="356"/>
      <c r="H155" s="292"/>
      <c r="I155" s="293"/>
      <c r="J155" s="266"/>
      <c r="K155" s="487"/>
      <c r="L155" s="230"/>
      <c r="M155" s="446"/>
      <c r="S155" s="37"/>
      <c r="T155" s="37"/>
      <c r="U155" s="37"/>
      <c r="V155" s="37"/>
      <c r="W155" s="37"/>
      <c r="X155" s="37"/>
      <c r="Y155" s="37"/>
      <c r="Z155" s="37"/>
      <c r="AA155" s="37"/>
    </row>
    <row r="156" spans="1:27" ht="256.5" hidden="1" outlineLevel="1">
      <c r="A156" s="371">
        <v>3</v>
      </c>
      <c r="B156" s="144" t="s">
        <v>567</v>
      </c>
      <c r="C156" s="144" t="s">
        <v>568</v>
      </c>
      <c r="D156" s="144" t="s">
        <v>569</v>
      </c>
      <c r="E156" s="144" t="s">
        <v>570</v>
      </c>
      <c r="F156" s="145" t="s">
        <v>1176</v>
      </c>
      <c r="G156" s="372" t="s">
        <v>571</v>
      </c>
      <c r="H156" s="196"/>
      <c r="I156" s="289"/>
      <c r="J156" s="196"/>
      <c r="K156" s="493"/>
      <c r="L156" s="196" t="s">
        <v>1182</v>
      </c>
      <c r="M156" s="516" t="s">
        <v>1328</v>
      </c>
      <c r="S156" s="37"/>
      <c r="T156" s="37"/>
      <c r="U156" s="37"/>
      <c r="V156" s="37"/>
      <c r="W156" s="37"/>
      <c r="X156" s="37"/>
      <c r="Y156" s="37"/>
      <c r="Z156" s="37"/>
      <c r="AA156" s="37"/>
    </row>
    <row r="157" spans="1:27" ht="313.5" hidden="1" outlineLevel="1">
      <c r="A157" s="373">
        <v>4</v>
      </c>
      <c r="B157" s="48" t="s">
        <v>572</v>
      </c>
      <c r="C157" s="48" t="s">
        <v>573</v>
      </c>
      <c r="D157" s="48" t="s">
        <v>574</v>
      </c>
      <c r="E157" s="48" t="s">
        <v>575</v>
      </c>
      <c r="F157" s="46" t="s">
        <v>1176</v>
      </c>
      <c r="G157" s="366" t="s">
        <v>576</v>
      </c>
      <c r="H157" s="196"/>
      <c r="I157" s="289"/>
      <c r="J157" s="196"/>
      <c r="K157" s="481"/>
      <c r="L157" s="196" t="s">
        <v>1178</v>
      </c>
      <c r="M157" s="514" t="s">
        <v>1333</v>
      </c>
      <c r="S157" s="37"/>
      <c r="T157" s="37"/>
      <c r="U157" s="37"/>
      <c r="V157" s="37"/>
      <c r="W157" s="37"/>
      <c r="X157" s="37"/>
      <c r="Y157" s="37"/>
      <c r="Z157" s="37"/>
      <c r="AA157" s="37"/>
    </row>
    <row r="158" spans="1:27" ht="185.25" hidden="1" outlineLevel="1">
      <c r="A158" s="374">
        <v>5</v>
      </c>
      <c r="B158" s="140" t="s">
        <v>577</v>
      </c>
      <c r="C158" s="140" t="s">
        <v>578</v>
      </c>
      <c r="D158" s="140" t="s">
        <v>579</v>
      </c>
      <c r="E158" s="140" t="s">
        <v>580</v>
      </c>
      <c r="F158" s="141" t="s">
        <v>1176</v>
      </c>
      <c r="G158" s="375" t="s">
        <v>581</v>
      </c>
      <c r="H158" s="196"/>
      <c r="I158" s="289"/>
      <c r="J158" s="196"/>
      <c r="K158" s="481"/>
      <c r="L158" s="196" t="s">
        <v>1178</v>
      </c>
      <c r="M158" s="514" t="s">
        <v>1334</v>
      </c>
      <c r="S158" s="37"/>
      <c r="T158" s="37"/>
      <c r="U158" s="37"/>
      <c r="V158" s="37"/>
      <c r="W158" s="37"/>
      <c r="X158" s="37"/>
      <c r="Y158" s="37"/>
      <c r="Z158" s="37"/>
      <c r="AA158" s="37"/>
    </row>
    <row r="159" spans="1:27" ht="15" hidden="1" customHeight="1" collapsed="1">
      <c r="A159" s="355" t="s">
        <v>582</v>
      </c>
      <c r="B159" s="180"/>
      <c r="C159" s="180"/>
      <c r="D159" s="180"/>
      <c r="E159" s="180"/>
      <c r="F159" s="180"/>
      <c r="G159" s="356"/>
      <c r="H159" s="292"/>
      <c r="I159" s="293"/>
      <c r="J159" s="266"/>
      <c r="K159" s="487"/>
      <c r="L159" s="230"/>
      <c r="M159" s="446"/>
      <c r="S159" s="37"/>
      <c r="T159" s="37"/>
      <c r="U159" s="37"/>
      <c r="V159" s="37"/>
      <c r="W159" s="37"/>
      <c r="X159" s="37"/>
      <c r="Y159" s="37"/>
      <c r="Z159" s="37"/>
      <c r="AA159" s="37"/>
    </row>
    <row r="160" spans="1:27" ht="399" hidden="1" outlineLevel="1">
      <c r="A160" s="376">
        <v>1</v>
      </c>
      <c r="B160" s="142" t="s">
        <v>583</v>
      </c>
      <c r="C160" s="142" t="s">
        <v>584</v>
      </c>
      <c r="D160" s="142" t="s">
        <v>585</v>
      </c>
      <c r="E160" s="142" t="s">
        <v>586</v>
      </c>
      <c r="F160" s="83" t="s">
        <v>46</v>
      </c>
      <c r="G160" s="377" t="s">
        <v>587</v>
      </c>
      <c r="H160" s="196"/>
      <c r="I160" s="289"/>
      <c r="J160" s="196"/>
      <c r="K160" s="493"/>
      <c r="L160" s="196" t="s">
        <v>1182</v>
      </c>
      <c r="M160" s="516" t="s">
        <v>1328</v>
      </c>
      <c r="S160" s="37"/>
      <c r="T160" s="37"/>
      <c r="U160" s="37"/>
      <c r="V160" s="37"/>
      <c r="W160" s="37"/>
      <c r="X160" s="37"/>
      <c r="Y160" s="37"/>
      <c r="Z160" s="37"/>
      <c r="AA160" s="37"/>
    </row>
    <row r="161" spans="1:76" ht="15" hidden="1" customHeight="1" collapsed="1">
      <c r="A161" s="355" t="s">
        <v>588</v>
      </c>
      <c r="B161" s="180"/>
      <c r="C161" s="180"/>
      <c r="D161" s="180"/>
      <c r="E161" s="180"/>
      <c r="F161" s="180"/>
      <c r="G161" s="356"/>
      <c r="H161" s="292"/>
      <c r="I161" s="293"/>
      <c r="J161" s="266"/>
      <c r="K161" s="487"/>
      <c r="L161" s="230"/>
      <c r="M161" s="446"/>
      <c r="S161" s="37"/>
      <c r="T161" s="37"/>
      <c r="U161" s="37"/>
      <c r="V161" s="37"/>
      <c r="W161" s="37"/>
      <c r="X161" s="37"/>
      <c r="Y161" s="37"/>
      <c r="Z161" s="37"/>
      <c r="AA161" s="37"/>
    </row>
    <row r="162" spans="1:76" ht="213.75" hidden="1" outlineLevel="1">
      <c r="A162" s="361">
        <v>1</v>
      </c>
      <c r="B162" s="139" t="s">
        <v>589</v>
      </c>
      <c r="C162" s="139" t="s">
        <v>590</v>
      </c>
      <c r="D162" s="139" t="s">
        <v>591</v>
      </c>
      <c r="E162" s="139" t="s">
        <v>592</v>
      </c>
      <c r="F162" s="85" t="s">
        <v>1175</v>
      </c>
      <c r="G162" s="362" t="s">
        <v>593</v>
      </c>
      <c r="H162" s="196"/>
      <c r="I162" s="289"/>
      <c r="J162" s="196"/>
      <c r="K162" s="496"/>
      <c r="L162" s="196" t="s">
        <v>1182</v>
      </c>
      <c r="M162" s="424" t="s">
        <v>1328</v>
      </c>
      <c r="S162" s="37"/>
      <c r="T162" s="37"/>
      <c r="U162" s="37"/>
      <c r="V162" s="37"/>
      <c r="W162" s="37"/>
      <c r="X162" s="37"/>
      <c r="Y162" s="37"/>
      <c r="Z162" s="37"/>
      <c r="AA162" s="37"/>
    </row>
    <row r="163" spans="1:76" ht="243" hidden="1" outlineLevel="1" thickBot="1">
      <c r="A163" s="378">
        <v>2</v>
      </c>
      <c r="B163" s="50" t="s">
        <v>594</v>
      </c>
      <c r="C163" s="50" t="s">
        <v>595</v>
      </c>
      <c r="D163" s="50" t="s">
        <v>596</v>
      </c>
      <c r="E163" s="50" t="s">
        <v>597</v>
      </c>
      <c r="F163" s="113" t="s">
        <v>1175</v>
      </c>
      <c r="G163" s="379" t="s">
        <v>598</v>
      </c>
      <c r="H163" s="196"/>
      <c r="I163" s="289"/>
      <c r="J163" s="196"/>
      <c r="K163" s="497"/>
      <c r="L163" s="196" t="s">
        <v>1178</v>
      </c>
      <c r="M163" s="425" t="s">
        <v>1371</v>
      </c>
      <c r="S163" s="37"/>
      <c r="T163" s="37"/>
      <c r="U163" s="37"/>
      <c r="V163" s="37"/>
      <c r="W163" s="37"/>
      <c r="X163" s="37"/>
      <c r="Y163" s="37"/>
      <c r="Z163" s="37"/>
      <c r="AA163" s="37"/>
    </row>
    <row r="164" spans="1:76" s="51" customFormat="1" ht="15.75" hidden="1" customHeight="1" thickTop="1">
      <c r="A164" s="380"/>
      <c r="B164" s="184"/>
      <c r="C164" s="184"/>
      <c r="D164" s="184"/>
      <c r="E164" s="184"/>
      <c r="F164" s="184"/>
      <c r="G164" s="381" t="s">
        <v>639</v>
      </c>
      <c r="H164" s="272"/>
      <c r="I164" s="273"/>
      <c r="J164" s="272"/>
      <c r="K164" s="498"/>
      <c r="L164" s="246"/>
      <c r="M164" s="449"/>
      <c r="N164" s="37"/>
      <c r="O164" s="37"/>
      <c r="P164" s="37"/>
      <c r="Q164" s="37"/>
      <c r="R164" s="37"/>
      <c r="S164" s="37"/>
      <c r="T164" s="37"/>
      <c r="U164" s="37"/>
      <c r="V164" s="37"/>
      <c r="W164" s="37"/>
      <c r="X164" s="37"/>
      <c r="Y164" s="37"/>
      <c r="Z164" s="37"/>
      <c r="AA164" s="37"/>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c r="BC164" s="38"/>
      <c r="BD164" s="38"/>
      <c r="BE164" s="38"/>
      <c r="BF164" s="38"/>
      <c r="BG164" s="38"/>
      <c r="BH164" s="38"/>
      <c r="BI164" s="38"/>
      <c r="BJ164" s="38"/>
      <c r="BK164" s="38"/>
      <c r="BL164" s="38"/>
      <c r="BM164" s="38"/>
      <c r="BN164" s="38"/>
      <c r="BO164" s="38"/>
      <c r="BP164" s="38"/>
      <c r="BQ164" s="38"/>
      <c r="BR164" s="38"/>
      <c r="BS164" s="38"/>
      <c r="BT164" s="38"/>
      <c r="BU164" s="38"/>
      <c r="BV164" s="38"/>
      <c r="BW164" s="38"/>
      <c r="BX164" s="38"/>
    </row>
    <row r="165" spans="1:76" ht="15" hidden="1" customHeight="1">
      <c r="A165" s="355" t="s">
        <v>640</v>
      </c>
      <c r="B165" s="180"/>
      <c r="C165" s="180"/>
      <c r="D165" s="180"/>
      <c r="E165" s="180"/>
      <c r="F165" s="137"/>
      <c r="G165" s="231"/>
      <c r="H165" s="304"/>
      <c r="I165" s="293"/>
      <c r="J165" s="266"/>
      <c r="K165" s="487"/>
      <c r="L165" s="230"/>
      <c r="M165" s="440"/>
      <c r="N165" s="37"/>
      <c r="O165" s="37"/>
      <c r="P165" s="37"/>
      <c r="Q165" s="37"/>
      <c r="R165" s="37"/>
      <c r="S165" s="37"/>
      <c r="T165" s="37"/>
      <c r="U165" s="37"/>
      <c r="V165" s="37"/>
      <c r="W165" s="37"/>
      <c r="X165" s="37"/>
      <c r="Y165" s="37"/>
      <c r="Z165" s="37"/>
      <c r="AA165" s="37"/>
    </row>
    <row r="166" spans="1:76" hidden="1" outlineLevel="1">
      <c r="A166" s="382" t="s">
        <v>89</v>
      </c>
      <c r="B166" s="185"/>
      <c r="C166" s="185"/>
      <c r="D166" s="185"/>
      <c r="E166" s="185"/>
      <c r="F166" s="136"/>
      <c r="G166" s="235"/>
      <c r="H166" s="305"/>
      <c r="I166" s="306"/>
      <c r="J166" s="274"/>
      <c r="K166" s="499"/>
      <c r="L166" s="247"/>
      <c r="M166" s="442"/>
      <c r="N166" s="37"/>
      <c r="O166" s="37"/>
      <c r="P166" s="37"/>
      <c r="Q166" s="37"/>
      <c r="R166" s="37"/>
      <c r="S166" s="37"/>
      <c r="T166" s="37"/>
      <c r="U166" s="37"/>
      <c r="V166" s="37"/>
      <c r="W166" s="37"/>
      <c r="X166" s="37"/>
      <c r="Y166" s="37"/>
      <c r="Z166" s="37"/>
      <c r="AA166" s="37"/>
    </row>
    <row r="167" spans="1:76" ht="313.5" hidden="1" outlineLevel="1">
      <c r="A167" s="383">
        <v>1</v>
      </c>
      <c r="B167" s="120" t="s">
        <v>641</v>
      </c>
      <c r="C167" s="120" t="s">
        <v>642</v>
      </c>
      <c r="D167" s="120" t="s">
        <v>643</v>
      </c>
      <c r="E167" s="120" t="s">
        <v>644</v>
      </c>
      <c r="F167" s="152" t="s">
        <v>56</v>
      </c>
      <c r="G167" s="384" t="s">
        <v>1188</v>
      </c>
      <c r="H167" s="196"/>
      <c r="I167" s="457"/>
      <c r="J167" s="196"/>
      <c r="K167" s="500"/>
      <c r="L167" s="196" t="s">
        <v>1178</v>
      </c>
      <c r="M167" s="200" t="s">
        <v>1379</v>
      </c>
      <c r="N167" s="37"/>
      <c r="O167" s="37"/>
      <c r="P167" s="37"/>
      <c r="Q167" s="37"/>
      <c r="R167" s="37"/>
      <c r="S167" s="37"/>
      <c r="T167" s="37"/>
      <c r="U167" s="37"/>
      <c r="V167" s="37"/>
      <c r="W167" s="37"/>
      <c r="X167" s="37"/>
      <c r="Y167" s="37"/>
      <c r="Z167" s="37"/>
      <c r="AA167" s="37"/>
    </row>
    <row r="168" spans="1:76" hidden="1" outlineLevel="1">
      <c r="A168" s="385" t="s">
        <v>90</v>
      </c>
      <c r="B168" s="186"/>
      <c r="C168" s="186"/>
      <c r="D168" s="186"/>
      <c r="E168" s="186"/>
      <c r="F168" s="119"/>
      <c r="G168" s="237"/>
      <c r="H168" s="307"/>
      <c r="I168" s="298"/>
      <c r="J168" s="269"/>
      <c r="K168" s="490"/>
      <c r="L168" s="234"/>
      <c r="M168" s="444"/>
      <c r="N168" s="37"/>
      <c r="O168" s="37"/>
      <c r="P168" s="37"/>
      <c r="Q168" s="37"/>
      <c r="R168" s="37"/>
      <c r="S168" s="37"/>
      <c r="T168" s="37"/>
      <c r="U168" s="37"/>
      <c r="V168" s="37"/>
      <c r="W168" s="37"/>
      <c r="X168" s="37"/>
      <c r="Y168" s="37"/>
      <c r="Z168" s="37"/>
      <c r="AA168" s="37"/>
    </row>
    <row r="169" spans="1:76" ht="356.25" outlineLevel="1">
      <c r="A169" s="386">
        <v>2</v>
      </c>
      <c r="B169" s="118" t="s">
        <v>645</v>
      </c>
      <c r="C169" s="118" t="s">
        <v>646</v>
      </c>
      <c r="D169" s="118" t="s">
        <v>647</v>
      </c>
      <c r="E169" s="118" t="s">
        <v>648</v>
      </c>
      <c r="F169" s="45" t="s">
        <v>1175</v>
      </c>
      <c r="G169" s="384" t="s">
        <v>1189</v>
      </c>
      <c r="H169" s="196" t="s">
        <v>1178</v>
      </c>
      <c r="I169" s="458" t="s">
        <v>1427</v>
      </c>
      <c r="J169" s="196" t="s">
        <v>1182</v>
      </c>
      <c r="K169" s="500" t="s">
        <v>1314</v>
      </c>
      <c r="L169" s="196" t="s">
        <v>1178</v>
      </c>
      <c r="M169" s="219" t="s">
        <v>1450</v>
      </c>
      <c r="N169" s="522"/>
      <c r="O169" s="37"/>
      <c r="P169" s="37"/>
      <c r="Q169" s="37"/>
      <c r="R169" s="37"/>
      <c r="S169" s="37"/>
      <c r="T169" s="37"/>
      <c r="U169" s="37"/>
      <c r="V169" s="37"/>
      <c r="W169" s="37"/>
      <c r="X169" s="37"/>
      <c r="Y169" s="37"/>
      <c r="Z169" s="37"/>
      <c r="AA169" s="37"/>
    </row>
    <row r="170" spans="1:76" ht="300.75" hidden="1" outlineLevel="1">
      <c r="A170" s="387">
        <v>3</v>
      </c>
      <c r="B170" s="121" t="s">
        <v>649</v>
      </c>
      <c r="C170" s="121" t="s">
        <v>650</v>
      </c>
      <c r="D170" s="121" t="s">
        <v>1167</v>
      </c>
      <c r="E170" s="121" t="s">
        <v>651</v>
      </c>
      <c r="F170" s="41" t="s">
        <v>46</v>
      </c>
      <c r="G170" s="384" t="s">
        <v>1190</v>
      </c>
      <c r="H170" s="196"/>
      <c r="I170" s="467"/>
      <c r="J170" s="196"/>
      <c r="K170" s="500"/>
      <c r="L170" s="196" t="s">
        <v>1182</v>
      </c>
      <c r="M170" s="427" t="s">
        <v>1314</v>
      </c>
      <c r="N170" s="37"/>
      <c r="O170" s="37"/>
      <c r="P170" s="37"/>
      <c r="Q170" s="37"/>
      <c r="R170" s="37"/>
      <c r="S170" s="37"/>
      <c r="T170" s="37"/>
      <c r="U170" s="37"/>
      <c r="V170" s="37"/>
      <c r="W170" s="37"/>
      <c r="X170" s="37"/>
      <c r="Y170" s="37"/>
      <c r="Z170" s="37"/>
      <c r="AA170" s="37"/>
    </row>
    <row r="171" spans="1:76" ht="15" hidden="1" customHeight="1" collapsed="1">
      <c r="A171" s="355" t="s">
        <v>652</v>
      </c>
      <c r="B171" s="180"/>
      <c r="C171" s="180"/>
      <c r="D171" s="180"/>
      <c r="E171" s="180"/>
      <c r="F171" s="137"/>
      <c r="G171" s="231"/>
      <c r="H171" s="304"/>
      <c r="I171" s="293"/>
      <c r="J171" s="266"/>
      <c r="K171" s="487"/>
      <c r="L171" s="230"/>
      <c r="M171" s="440"/>
      <c r="N171" s="37"/>
      <c r="O171" s="37"/>
      <c r="P171" s="37"/>
      <c r="Q171" s="37"/>
      <c r="R171" s="37"/>
      <c r="S171" s="37"/>
      <c r="T171" s="37"/>
      <c r="U171" s="37"/>
      <c r="V171" s="37"/>
      <c r="W171" s="37"/>
      <c r="X171" s="37"/>
      <c r="Y171" s="37"/>
      <c r="Z171" s="37"/>
      <c r="AA171" s="37"/>
    </row>
    <row r="172" spans="1:76" hidden="1" outlineLevel="1">
      <c r="A172" s="382" t="s">
        <v>7</v>
      </c>
      <c r="B172" s="185"/>
      <c r="C172" s="185"/>
      <c r="D172" s="185"/>
      <c r="E172" s="185"/>
      <c r="F172" s="136"/>
      <c r="G172" s="235"/>
      <c r="H172" s="305"/>
      <c r="I172" s="306"/>
      <c r="J172" s="274"/>
      <c r="K172" s="499"/>
      <c r="L172" s="247"/>
      <c r="M172" s="442"/>
      <c r="N172" s="37"/>
      <c r="O172" s="37"/>
      <c r="P172" s="37"/>
      <c r="Q172" s="37"/>
      <c r="R172" s="37"/>
      <c r="S172" s="37"/>
      <c r="T172" s="37"/>
      <c r="U172" s="37"/>
      <c r="V172" s="37"/>
      <c r="W172" s="37"/>
      <c r="X172" s="37"/>
      <c r="Y172" s="37"/>
      <c r="Z172" s="37"/>
      <c r="AA172" s="37"/>
    </row>
    <row r="173" spans="1:76" ht="399" hidden="1" outlineLevel="1">
      <c r="A173" s="383">
        <v>5</v>
      </c>
      <c r="B173" s="120" t="s">
        <v>653</v>
      </c>
      <c r="C173" s="120" t="s">
        <v>654</v>
      </c>
      <c r="D173" s="120" t="s">
        <v>655</v>
      </c>
      <c r="E173" s="120" t="s">
        <v>656</v>
      </c>
      <c r="F173" s="45" t="s">
        <v>1175</v>
      </c>
      <c r="G173" s="384" t="s">
        <v>1191</v>
      </c>
      <c r="H173" s="196"/>
      <c r="I173" s="467"/>
      <c r="J173" s="196"/>
      <c r="K173" s="500"/>
      <c r="L173" s="196" t="s">
        <v>1182</v>
      </c>
      <c r="M173" s="226" t="s">
        <v>1314</v>
      </c>
      <c r="N173" s="37"/>
      <c r="O173" s="37"/>
      <c r="P173" s="37"/>
      <c r="Q173" s="37"/>
      <c r="R173" s="37"/>
      <c r="S173" s="37"/>
      <c r="T173" s="37"/>
      <c r="U173" s="37"/>
      <c r="V173" s="37"/>
      <c r="W173" s="37"/>
      <c r="X173" s="37"/>
      <c r="Y173" s="37"/>
      <c r="Z173" s="37"/>
      <c r="AA173" s="37"/>
    </row>
    <row r="174" spans="1:76" ht="15" hidden="1" customHeight="1" collapsed="1">
      <c r="A174" s="388" t="s">
        <v>657</v>
      </c>
      <c r="B174" s="187"/>
      <c r="C174" s="187"/>
      <c r="D174" s="187"/>
      <c r="E174" s="187"/>
      <c r="F174" s="138"/>
      <c r="G174" s="236"/>
      <c r="H174" s="308"/>
      <c r="I174" s="297"/>
      <c r="J174" s="268"/>
      <c r="K174" s="489"/>
      <c r="L174" s="233"/>
      <c r="M174" s="443"/>
      <c r="N174" s="37"/>
      <c r="O174" s="37"/>
      <c r="P174" s="37"/>
      <c r="Q174" s="37"/>
      <c r="R174" s="37"/>
      <c r="S174" s="37"/>
      <c r="T174" s="37"/>
      <c r="U174" s="37"/>
      <c r="V174" s="37"/>
      <c r="W174" s="37"/>
      <c r="X174" s="37"/>
      <c r="Y174" s="37"/>
      <c r="Z174" s="37"/>
      <c r="AA174" s="37"/>
    </row>
    <row r="175" spans="1:76" hidden="1" outlineLevel="1">
      <c r="A175" s="385" t="s">
        <v>90</v>
      </c>
      <c r="B175" s="186"/>
      <c r="C175" s="186"/>
      <c r="D175" s="186"/>
      <c r="E175" s="186"/>
      <c r="F175" s="119"/>
      <c r="G175" s="237"/>
      <c r="H175" s="307"/>
      <c r="I175" s="298"/>
      <c r="J175" s="269"/>
      <c r="K175" s="490"/>
      <c r="L175" s="234"/>
      <c r="M175" s="444"/>
      <c r="N175" s="37"/>
      <c r="O175" s="37"/>
      <c r="P175" s="37"/>
      <c r="Q175" s="37"/>
      <c r="R175" s="37"/>
      <c r="S175" s="37"/>
      <c r="T175" s="37"/>
      <c r="U175" s="37"/>
      <c r="V175" s="37"/>
      <c r="W175" s="37"/>
      <c r="X175" s="37"/>
      <c r="Y175" s="37"/>
      <c r="Z175" s="37"/>
      <c r="AA175" s="37"/>
    </row>
    <row r="176" spans="1:76" ht="213.75" hidden="1" outlineLevel="1">
      <c r="A176" s="386">
        <v>6</v>
      </c>
      <c r="B176" s="118" t="s">
        <v>658</v>
      </c>
      <c r="C176" s="118" t="s">
        <v>659</v>
      </c>
      <c r="D176" s="118" t="s">
        <v>660</v>
      </c>
      <c r="E176" s="118" t="s">
        <v>661</v>
      </c>
      <c r="F176" s="45" t="s">
        <v>1175</v>
      </c>
      <c r="G176" s="384" t="s">
        <v>1192</v>
      </c>
      <c r="H176" s="196"/>
      <c r="I176" s="468"/>
      <c r="J176" s="196"/>
      <c r="K176" s="500"/>
      <c r="L176" s="196" t="s">
        <v>1178</v>
      </c>
      <c r="M176" s="197" t="s">
        <v>1339</v>
      </c>
      <c r="N176" s="37"/>
      <c r="O176" s="37"/>
      <c r="P176" s="37"/>
      <c r="Q176" s="37"/>
      <c r="R176" s="37"/>
      <c r="S176" s="37"/>
      <c r="T176" s="37"/>
      <c r="U176" s="37"/>
      <c r="V176" s="37"/>
      <c r="W176" s="37"/>
      <c r="X176" s="37"/>
      <c r="Y176" s="37"/>
      <c r="Z176" s="37"/>
      <c r="AA176" s="37"/>
    </row>
    <row r="177" spans="1:27" ht="285" hidden="1" outlineLevel="1">
      <c r="A177" s="387">
        <v>7</v>
      </c>
      <c r="B177" s="52" t="s">
        <v>658</v>
      </c>
      <c r="C177" s="52" t="s">
        <v>662</v>
      </c>
      <c r="D177" s="52" t="s">
        <v>663</v>
      </c>
      <c r="E177" s="52" t="s">
        <v>664</v>
      </c>
      <c r="F177" s="476" t="s">
        <v>1175</v>
      </c>
      <c r="G177" s="477" t="s">
        <v>1193</v>
      </c>
      <c r="H177" s="196" t="s">
        <v>1178</v>
      </c>
      <c r="I177" s="471" t="s">
        <v>1428</v>
      </c>
      <c r="J177" s="196" t="s">
        <v>1181</v>
      </c>
      <c r="K177" s="500" t="s">
        <v>1429</v>
      </c>
      <c r="L177" s="196" t="s">
        <v>1178</v>
      </c>
      <c r="M177" s="197" t="s">
        <v>1433</v>
      </c>
      <c r="N177" s="37"/>
      <c r="O177" s="37"/>
      <c r="P177" s="37"/>
      <c r="Q177" s="37"/>
      <c r="R177" s="37"/>
      <c r="S177" s="37"/>
      <c r="T177" s="37"/>
      <c r="U177" s="37"/>
      <c r="V177" s="37"/>
      <c r="W177" s="37"/>
      <c r="X177" s="37"/>
      <c r="Y177" s="37"/>
      <c r="Z177" s="37"/>
      <c r="AA177" s="37"/>
    </row>
    <row r="178" spans="1:27" ht="15" hidden="1" customHeight="1" outlineLevel="1">
      <c r="A178" s="385" t="s">
        <v>7</v>
      </c>
      <c r="B178" s="186"/>
      <c r="C178" s="186"/>
      <c r="D178" s="186"/>
      <c r="E178" s="186"/>
      <c r="F178" s="119"/>
      <c r="G178" s="237"/>
      <c r="H178" s="307"/>
      <c r="I178" s="298"/>
      <c r="J178" s="269"/>
      <c r="K178" s="490"/>
      <c r="L178" s="234"/>
      <c r="M178" s="444"/>
      <c r="N178" s="37"/>
      <c r="O178" s="37"/>
      <c r="P178" s="37"/>
      <c r="Q178" s="37"/>
      <c r="R178" s="37"/>
      <c r="S178" s="37"/>
      <c r="T178" s="37"/>
      <c r="U178" s="37"/>
      <c r="V178" s="37"/>
      <c r="W178" s="37"/>
      <c r="X178" s="37"/>
      <c r="Y178" s="37"/>
      <c r="Z178" s="37"/>
      <c r="AA178" s="37"/>
    </row>
    <row r="179" spans="1:27" ht="100.5" hidden="1" customHeight="1" outlineLevel="1">
      <c r="A179" s="383">
        <v>10</v>
      </c>
      <c r="B179" s="120" t="s">
        <v>665</v>
      </c>
      <c r="C179" s="120" t="s">
        <v>666</v>
      </c>
      <c r="D179" s="120" t="s">
        <v>667</v>
      </c>
      <c r="E179" s="120" t="s">
        <v>668</v>
      </c>
      <c r="F179" s="152" t="s">
        <v>56</v>
      </c>
      <c r="G179" s="331" t="s">
        <v>1194</v>
      </c>
      <c r="H179" s="196"/>
      <c r="I179" s="467"/>
      <c r="J179" s="196"/>
      <c r="K179" s="500"/>
      <c r="L179" s="196" t="s">
        <v>1178</v>
      </c>
      <c r="M179" s="200" t="s">
        <v>1378</v>
      </c>
      <c r="N179" s="37"/>
      <c r="O179" s="37"/>
      <c r="P179" s="37"/>
      <c r="Q179" s="37"/>
      <c r="R179" s="37"/>
      <c r="S179" s="37"/>
      <c r="T179" s="37"/>
      <c r="U179" s="37"/>
      <c r="V179" s="37"/>
      <c r="W179" s="37"/>
      <c r="X179" s="37"/>
      <c r="Y179" s="37"/>
      <c r="Z179" s="37"/>
      <c r="AA179" s="37"/>
    </row>
    <row r="180" spans="1:27" ht="15" hidden="1" customHeight="1" collapsed="1">
      <c r="A180" s="355" t="s">
        <v>669</v>
      </c>
      <c r="B180" s="180"/>
      <c r="C180" s="180"/>
      <c r="D180" s="180"/>
      <c r="E180" s="180"/>
      <c r="F180" s="137"/>
      <c r="G180" s="231"/>
      <c r="H180" s="304"/>
      <c r="I180" s="293"/>
      <c r="J180" s="266"/>
      <c r="K180" s="487"/>
      <c r="L180" s="230"/>
      <c r="M180" s="440"/>
      <c r="N180" s="37"/>
      <c r="O180" s="37"/>
      <c r="P180" s="37"/>
      <c r="Q180" s="37"/>
      <c r="R180" s="37"/>
      <c r="S180" s="37"/>
      <c r="T180" s="37"/>
      <c r="U180" s="37"/>
      <c r="V180" s="37"/>
      <c r="W180" s="37"/>
      <c r="X180" s="37"/>
      <c r="Y180" s="37"/>
      <c r="Z180" s="37"/>
      <c r="AA180" s="37"/>
    </row>
    <row r="181" spans="1:27" hidden="1" outlineLevel="1">
      <c r="A181" s="382" t="s">
        <v>7</v>
      </c>
      <c r="B181" s="185"/>
      <c r="C181" s="185"/>
      <c r="D181" s="185"/>
      <c r="E181" s="185"/>
      <c r="F181" s="136"/>
      <c r="G181" s="235"/>
      <c r="H181" s="305"/>
      <c r="I181" s="306"/>
      <c r="J181" s="274"/>
      <c r="K181" s="499"/>
      <c r="L181" s="247"/>
      <c r="M181" s="442"/>
      <c r="N181" s="37"/>
      <c r="O181" s="37"/>
      <c r="P181" s="37"/>
      <c r="Q181" s="37"/>
      <c r="R181" s="37"/>
      <c r="S181" s="37"/>
      <c r="T181" s="37"/>
      <c r="U181" s="37"/>
      <c r="V181" s="37"/>
      <c r="W181" s="37"/>
      <c r="X181" s="37"/>
      <c r="Y181" s="37"/>
      <c r="Z181" s="37"/>
      <c r="AA181" s="37"/>
    </row>
    <row r="182" spans="1:27" ht="185.25" hidden="1" outlineLevel="1">
      <c r="A182" s="383">
        <v>12</v>
      </c>
      <c r="B182" s="120" t="s">
        <v>670</v>
      </c>
      <c r="C182" s="120" t="s">
        <v>671</v>
      </c>
      <c r="D182" s="120" t="s">
        <v>672</v>
      </c>
      <c r="E182" s="120" t="s">
        <v>673</v>
      </c>
      <c r="F182" s="45" t="s">
        <v>1175</v>
      </c>
      <c r="G182" s="331" t="s">
        <v>1195</v>
      </c>
      <c r="H182" s="196"/>
      <c r="I182" s="467"/>
      <c r="J182" s="196"/>
      <c r="K182" s="500"/>
      <c r="L182" s="196" t="s">
        <v>1178</v>
      </c>
      <c r="M182" s="275" t="s">
        <v>1380</v>
      </c>
      <c r="N182" s="37"/>
      <c r="O182" s="37"/>
      <c r="P182" s="37"/>
      <c r="Q182" s="37"/>
      <c r="R182" s="37"/>
      <c r="S182" s="37"/>
      <c r="T182" s="37"/>
      <c r="U182" s="37"/>
      <c r="V182" s="37"/>
      <c r="W182" s="37"/>
      <c r="X182" s="37"/>
      <c r="Y182" s="37"/>
      <c r="Z182" s="37"/>
      <c r="AA182" s="37"/>
    </row>
    <row r="183" spans="1:27" ht="15" hidden="1" customHeight="1" collapsed="1">
      <c r="A183" s="355" t="s">
        <v>600</v>
      </c>
      <c r="B183" s="180"/>
      <c r="C183" s="180"/>
      <c r="D183" s="180"/>
      <c r="E183" s="180"/>
      <c r="F183" s="137"/>
      <c r="G183" s="231"/>
      <c r="H183" s="304"/>
      <c r="I183" s="293"/>
      <c r="J183" s="266"/>
      <c r="K183" s="487"/>
      <c r="L183" s="230"/>
      <c r="M183" s="440"/>
      <c r="N183" s="37"/>
      <c r="O183" s="37"/>
      <c r="P183" s="37"/>
      <c r="Q183" s="37"/>
      <c r="R183" s="37"/>
      <c r="S183" s="37"/>
      <c r="T183" s="37"/>
      <c r="U183" s="37"/>
      <c r="V183" s="37"/>
      <c r="W183" s="37"/>
      <c r="X183" s="37"/>
      <c r="Y183" s="37"/>
      <c r="Z183" s="37"/>
      <c r="AA183" s="37"/>
    </row>
    <row r="184" spans="1:27" hidden="1" outlineLevel="1">
      <c r="A184" s="382" t="s">
        <v>160</v>
      </c>
      <c r="B184" s="185"/>
      <c r="C184" s="185"/>
      <c r="D184" s="185"/>
      <c r="E184" s="185"/>
      <c r="F184" s="136"/>
      <c r="G184" s="235"/>
      <c r="H184" s="305"/>
      <c r="I184" s="306"/>
      <c r="J184" s="274"/>
      <c r="K184" s="499"/>
      <c r="L184" s="247"/>
      <c r="M184" s="442"/>
      <c r="N184" s="37"/>
      <c r="O184" s="37"/>
      <c r="P184" s="37"/>
      <c r="Q184" s="37"/>
      <c r="R184" s="37"/>
      <c r="S184" s="37"/>
      <c r="T184" s="37"/>
      <c r="U184" s="37"/>
      <c r="V184" s="37"/>
      <c r="W184" s="37"/>
      <c r="X184" s="37"/>
      <c r="Y184" s="37"/>
      <c r="Z184" s="37"/>
      <c r="AA184" s="37"/>
    </row>
    <row r="185" spans="1:27" ht="409.5" hidden="1" outlineLevel="1">
      <c r="A185" s="383">
        <v>11</v>
      </c>
      <c r="B185" s="120" t="s">
        <v>674</v>
      </c>
      <c r="C185" s="120" t="s">
        <v>1184</v>
      </c>
      <c r="D185" s="120" t="s">
        <v>1185</v>
      </c>
      <c r="E185" s="120" t="s">
        <v>1186</v>
      </c>
      <c r="F185" s="45" t="s">
        <v>1175</v>
      </c>
      <c r="G185" s="389" t="s">
        <v>1187</v>
      </c>
      <c r="H185" s="196"/>
      <c r="I185" s="467"/>
      <c r="J185" s="196"/>
      <c r="K185" s="500"/>
      <c r="L185" s="196" t="s">
        <v>1178</v>
      </c>
      <c r="M185" s="468" t="s">
        <v>1381</v>
      </c>
      <c r="N185" s="37"/>
      <c r="O185" s="37"/>
      <c r="P185" s="37"/>
      <c r="Q185" s="37"/>
      <c r="R185" s="37"/>
      <c r="S185" s="37"/>
      <c r="T185" s="37"/>
      <c r="U185" s="37"/>
      <c r="V185" s="37"/>
      <c r="W185" s="37"/>
      <c r="X185" s="37"/>
      <c r="Y185" s="37"/>
      <c r="Z185" s="37"/>
      <c r="AA185" s="37"/>
    </row>
    <row r="186" spans="1:27" ht="15" hidden="1" customHeight="1">
      <c r="A186" s="355" t="s">
        <v>675</v>
      </c>
      <c r="B186" s="180"/>
      <c r="C186" s="180"/>
      <c r="D186" s="180"/>
      <c r="E186" s="180"/>
      <c r="F186" s="137"/>
      <c r="G186" s="231"/>
      <c r="H186" s="304"/>
      <c r="I186" s="293"/>
      <c r="J186" s="266"/>
      <c r="K186" s="487"/>
      <c r="L186" s="230"/>
      <c r="M186" s="440"/>
      <c r="N186" s="37"/>
      <c r="O186" s="37"/>
      <c r="P186" s="37"/>
      <c r="Q186" s="37"/>
      <c r="R186" s="37"/>
      <c r="S186" s="37"/>
      <c r="T186" s="37"/>
      <c r="U186" s="37"/>
      <c r="V186" s="37"/>
      <c r="W186" s="37"/>
      <c r="X186" s="37"/>
      <c r="Y186" s="37"/>
      <c r="Z186" s="37"/>
      <c r="AA186" s="37"/>
    </row>
    <row r="187" spans="1:27" hidden="1" outlineLevel="1">
      <c r="A187" s="382" t="s">
        <v>676</v>
      </c>
      <c r="B187" s="185"/>
      <c r="C187" s="185"/>
      <c r="D187" s="185"/>
      <c r="E187" s="185"/>
      <c r="F187" s="136"/>
      <c r="G187" s="235"/>
      <c r="H187" s="305"/>
      <c r="I187" s="306"/>
      <c r="J187" s="274"/>
      <c r="K187" s="499"/>
      <c r="L187" s="247"/>
      <c r="M187" s="442"/>
      <c r="N187" s="37"/>
      <c r="O187" s="37"/>
      <c r="P187" s="37"/>
      <c r="Q187" s="37"/>
      <c r="R187" s="37"/>
      <c r="S187" s="37"/>
      <c r="T187" s="37"/>
      <c r="U187" s="37"/>
      <c r="V187" s="37"/>
      <c r="W187" s="37"/>
      <c r="X187" s="37"/>
      <c r="Y187" s="37"/>
      <c r="Z187" s="37"/>
      <c r="AA187" s="37"/>
    </row>
    <row r="188" spans="1:27" ht="114" outlineLevel="1">
      <c r="A188" s="386">
        <v>14</v>
      </c>
      <c r="B188" s="118" t="s">
        <v>677</v>
      </c>
      <c r="C188" s="118" t="s">
        <v>678</v>
      </c>
      <c r="D188" s="118" t="s">
        <v>679</v>
      </c>
      <c r="E188" s="118" t="s">
        <v>680</v>
      </c>
      <c r="F188" s="41" t="s">
        <v>46</v>
      </c>
      <c r="G188" s="331" t="s">
        <v>1196</v>
      </c>
      <c r="H188" s="196" t="s">
        <v>1178</v>
      </c>
      <c r="I188" s="459" t="s">
        <v>1430</v>
      </c>
      <c r="J188" s="196" t="s">
        <v>1182</v>
      </c>
      <c r="K188" s="500" t="s">
        <v>1314</v>
      </c>
      <c r="L188" s="196" t="s">
        <v>1181</v>
      </c>
      <c r="M188" s="197" t="s">
        <v>1440</v>
      </c>
      <c r="N188" s="522"/>
      <c r="O188" s="37"/>
      <c r="P188" s="37"/>
      <c r="Q188" s="37"/>
      <c r="R188" s="37"/>
      <c r="S188" s="37"/>
      <c r="T188" s="37"/>
      <c r="U188" s="37"/>
      <c r="V188" s="37"/>
      <c r="W188" s="37"/>
      <c r="X188" s="37"/>
      <c r="Y188" s="37"/>
      <c r="Z188" s="37"/>
      <c r="AA188" s="37"/>
    </row>
    <row r="189" spans="1:27" ht="242.25" hidden="1" outlineLevel="1">
      <c r="A189" s="387">
        <v>15</v>
      </c>
      <c r="B189" s="121" t="s">
        <v>681</v>
      </c>
      <c r="C189" s="121" t="s">
        <v>682</v>
      </c>
      <c r="D189" s="121" t="s">
        <v>683</v>
      </c>
      <c r="E189" s="121" t="s">
        <v>684</v>
      </c>
      <c r="F189" s="45" t="s">
        <v>1175</v>
      </c>
      <c r="G189" s="331" t="s">
        <v>1197</v>
      </c>
      <c r="H189" s="196"/>
      <c r="I189" s="459"/>
      <c r="J189" s="196"/>
      <c r="K189" s="500"/>
      <c r="L189" s="196" t="s">
        <v>1178</v>
      </c>
      <c r="M189" s="468" t="s">
        <v>1382</v>
      </c>
      <c r="N189" s="37"/>
      <c r="O189" s="37"/>
      <c r="P189" s="37"/>
      <c r="Q189" s="37"/>
      <c r="R189" s="37"/>
      <c r="S189" s="37"/>
      <c r="T189" s="37"/>
      <c r="U189" s="37"/>
      <c r="V189" s="37"/>
      <c r="W189" s="37"/>
      <c r="X189" s="37"/>
      <c r="Y189" s="37"/>
      <c r="Z189" s="37"/>
      <c r="AA189" s="37"/>
    </row>
    <row r="190" spans="1:27" ht="15" hidden="1" customHeight="1" collapsed="1">
      <c r="A190" s="355" t="s">
        <v>685</v>
      </c>
      <c r="B190" s="180"/>
      <c r="C190" s="180"/>
      <c r="D190" s="180"/>
      <c r="E190" s="180"/>
      <c r="F190" s="137"/>
      <c r="G190" s="231"/>
      <c r="H190" s="304"/>
      <c r="I190" s="293"/>
      <c r="J190" s="266"/>
      <c r="K190" s="487"/>
      <c r="L190" s="230"/>
      <c r="M190" s="440"/>
      <c r="N190" s="37"/>
      <c r="O190" s="37"/>
      <c r="P190" s="37"/>
      <c r="Q190" s="37"/>
      <c r="R190" s="37"/>
      <c r="S190" s="37"/>
      <c r="T190" s="37"/>
      <c r="U190" s="37"/>
      <c r="V190" s="37"/>
      <c r="W190" s="37"/>
      <c r="X190" s="37"/>
      <c r="Y190" s="37"/>
      <c r="Z190" s="37"/>
      <c r="AA190" s="37"/>
    </row>
    <row r="191" spans="1:27" hidden="1" outlineLevel="1">
      <c r="A191" s="382" t="s">
        <v>686</v>
      </c>
      <c r="B191" s="185"/>
      <c r="C191" s="185"/>
      <c r="D191" s="185"/>
      <c r="E191" s="185"/>
      <c r="F191" s="136"/>
      <c r="G191" s="235"/>
      <c r="H191" s="305"/>
      <c r="I191" s="306"/>
      <c r="J191" s="274"/>
      <c r="K191" s="499"/>
      <c r="L191" s="247"/>
      <c r="M191" s="442"/>
      <c r="N191" s="37"/>
      <c r="O191" s="37"/>
      <c r="P191" s="37"/>
      <c r="Q191" s="37"/>
      <c r="R191" s="37"/>
      <c r="S191" s="37"/>
      <c r="T191" s="37"/>
      <c r="U191" s="37"/>
      <c r="V191" s="37"/>
      <c r="W191" s="37"/>
      <c r="X191" s="37"/>
      <c r="Y191" s="37"/>
      <c r="Z191" s="37"/>
      <c r="AA191" s="37"/>
    </row>
    <row r="192" spans="1:27" ht="114" hidden="1" outlineLevel="1">
      <c r="A192" s="383">
        <v>14</v>
      </c>
      <c r="B192" s="120" t="s">
        <v>687</v>
      </c>
      <c r="C192" s="120" t="s">
        <v>688</v>
      </c>
      <c r="D192" s="120" t="s">
        <v>689</v>
      </c>
      <c r="E192" s="120" t="s">
        <v>690</v>
      </c>
      <c r="F192" s="152" t="s">
        <v>56</v>
      </c>
      <c r="G192" s="331" t="s">
        <v>1198</v>
      </c>
      <c r="H192" s="196"/>
      <c r="I192" s="459"/>
      <c r="J192" s="196"/>
      <c r="K192" s="500"/>
      <c r="L192" s="196" t="s">
        <v>1178</v>
      </c>
      <c r="M192" s="200" t="s">
        <v>1446</v>
      </c>
      <c r="N192" s="37"/>
      <c r="O192" s="37"/>
      <c r="P192" s="37"/>
      <c r="Q192" s="37"/>
      <c r="R192" s="37"/>
      <c r="S192" s="37"/>
      <c r="T192" s="37"/>
      <c r="U192" s="37"/>
      <c r="V192" s="37"/>
      <c r="W192" s="37"/>
      <c r="X192" s="37"/>
      <c r="Y192" s="37"/>
      <c r="Z192" s="37"/>
      <c r="AA192" s="37"/>
    </row>
    <row r="193" spans="1:27" ht="15" hidden="1" customHeight="1" collapsed="1">
      <c r="A193" s="261" t="s">
        <v>601</v>
      </c>
      <c r="B193" s="180"/>
      <c r="C193" s="180"/>
      <c r="D193" s="180"/>
      <c r="E193" s="180"/>
      <c r="F193" s="137"/>
      <c r="G193" s="231"/>
      <c r="H193" s="304"/>
      <c r="I193" s="240"/>
      <c r="J193" s="276"/>
      <c r="K193" s="501"/>
      <c r="L193" s="248"/>
      <c r="M193" s="440"/>
      <c r="N193" s="37"/>
      <c r="O193" s="37"/>
      <c r="P193" s="37"/>
      <c r="Q193" s="37"/>
      <c r="R193" s="37"/>
      <c r="S193" s="37"/>
      <c r="T193" s="37"/>
      <c r="U193" s="37"/>
      <c r="V193" s="37"/>
      <c r="W193" s="37"/>
      <c r="X193" s="37"/>
      <c r="Y193" s="37"/>
      <c r="Z193" s="37"/>
      <c r="AA193" s="37"/>
    </row>
    <row r="194" spans="1:27" hidden="1" outlineLevel="1">
      <c r="A194" s="382" t="s">
        <v>90</v>
      </c>
      <c r="B194" s="185"/>
      <c r="C194" s="185"/>
      <c r="D194" s="185"/>
      <c r="E194" s="185"/>
      <c r="F194" s="136"/>
      <c r="G194" s="235"/>
      <c r="H194" s="305"/>
      <c r="I194" s="278"/>
      <c r="J194" s="277"/>
      <c r="K194" s="502"/>
      <c r="L194" s="249"/>
      <c r="M194" s="442"/>
      <c r="N194" s="37"/>
      <c r="O194" s="37"/>
      <c r="P194" s="37"/>
      <c r="Q194" s="37"/>
      <c r="R194" s="37"/>
      <c r="S194" s="37"/>
      <c r="T194" s="37"/>
      <c r="U194" s="37"/>
      <c r="V194" s="37"/>
      <c r="W194" s="37"/>
      <c r="X194" s="37"/>
      <c r="Y194" s="37"/>
      <c r="Z194" s="37"/>
      <c r="AA194" s="37"/>
    </row>
    <row r="195" spans="1:27" ht="171" hidden="1" customHeight="1" outlineLevel="1">
      <c r="A195" s="383">
        <v>26</v>
      </c>
      <c r="B195" s="120" t="s">
        <v>691</v>
      </c>
      <c r="C195" s="120" t="s">
        <v>692</v>
      </c>
      <c r="D195" s="120" t="s">
        <v>693</v>
      </c>
      <c r="E195" s="120" t="s">
        <v>694</v>
      </c>
      <c r="F195" s="45" t="s">
        <v>1175</v>
      </c>
      <c r="G195" s="331" t="s">
        <v>1199</v>
      </c>
      <c r="H195" s="196"/>
      <c r="I195" s="460"/>
      <c r="J195" s="196"/>
      <c r="K195" s="500"/>
      <c r="L195" s="196" t="s">
        <v>1178</v>
      </c>
      <c r="M195" s="200" t="s">
        <v>1383</v>
      </c>
      <c r="N195" s="37"/>
      <c r="O195" s="37"/>
      <c r="P195" s="37"/>
      <c r="Q195" s="37"/>
      <c r="R195" s="37"/>
      <c r="S195" s="37"/>
      <c r="T195" s="37"/>
      <c r="U195" s="37"/>
      <c r="V195" s="37"/>
      <c r="W195" s="37"/>
      <c r="X195" s="37"/>
      <c r="Y195" s="37"/>
      <c r="Z195" s="37"/>
      <c r="AA195" s="37"/>
    </row>
    <row r="196" spans="1:27" hidden="1" outlineLevel="1">
      <c r="A196" s="385" t="s">
        <v>88</v>
      </c>
      <c r="B196" s="186"/>
      <c r="C196" s="186"/>
      <c r="D196" s="186"/>
      <c r="E196" s="186"/>
      <c r="F196" s="119"/>
      <c r="G196" s="237"/>
      <c r="H196" s="307"/>
      <c r="I196" s="280"/>
      <c r="J196" s="279"/>
      <c r="K196" s="503"/>
      <c r="L196" s="250"/>
      <c r="M196" s="444"/>
      <c r="N196" s="37"/>
      <c r="O196" s="37"/>
      <c r="P196" s="37"/>
      <c r="Q196" s="37"/>
      <c r="R196" s="37"/>
      <c r="S196" s="37"/>
      <c r="T196" s="37"/>
      <c r="U196" s="37"/>
      <c r="V196" s="37"/>
      <c r="W196" s="37"/>
      <c r="X196" s="37"/>
      <c r="Y196" s="37"/>
      <c r="Z196" s="37"/>
      <c r="AA196" s="37"/>
    </row>
    <row r="197" spans="1:27" ht="128.25" hidden="1" outlineLevel="1">
      <c r="A197" s="386">
        <v>27</v>
      </c>
      <c r="B197" s="118" t="s">
        <v>695</v>
      </c>
      <c r="C197" s="118" t="s">
        <v>696</v>
      </c>
      <c r="D197" s="118" t="s">
        <v>697</v>
      </c>
      <c r="E197" s="118" t="s">
        <v>698</v>
      </c>
      <c r="F197" s="41" t="s">
        <v>46</v>
      </c>
      <c r="G197" s="331" t="s">
        <v>1200</v>
      </c>
      <c r="H197" s="196"/>
      <c r="I197" s="459"/>
      <c r="J197" s="196"/>
      <c r="K197" s="500"/>
      <c r="L197" s="196" t="s">
        <v>1178</v>
      </c>
      <c r="M197" s="200" t="s">
        <v>1383</v>
      </c>
      <c r="N197" s="37"/>
      <c r="O197" s="37"/>
      <c r="P197" s="37"/>
      <c r="Q197" s="37"/>
      <c r="R197" s="37"/>
      <c r="S197" s="37"/>
      <c r="T197" s="37"/>
      <c r="U197" s="37"/>
      <c r="V197" s="37"/>
      <c r="W197" s="37"/>
      <c r="X197" s="37"/>
      <c r="Y197" s="37"/>
      <c r="Z197" s="37"/>
      <c r="AA197" s="37"/>
    </row>
    <row r="198" spans="1:27" ht="128.25" hidden="1" outlineLevel="1">
      <c r="A198" s="387">
        <v>28</v>
      </c>
      <c r="B198" s="121" t="s">
        <v>699</v>
      </c>
      <c r="C198" s="121" t="s">
        <v>700</v>
      </c>
      <c r="D198" s="121" t="s">
        <v>701</v>
      </c>
      <c r="E198" s="121" t="s">
        <v>702</v>
      </c>
      <c r="F198" s="152" t="s">
        <v>56</v>
      </c>
      <c r="G198" s="331" t="s">
        <v>1201</v>
      </c>
      <c r="H198" s="196"/>
      <c r="I198" s="459"/>
      <c r="J198" s="196"/>
      <c r="K198" s="500"/>
      <c r="L198" s="196" t="s">
        <v>1178</v>
      </c>
      <c r="M198" s="200" t="s">
        <v>1383</v>
      </c>
      <c r="N198" s="37"/>
      <c r="O198" s="37"/>
      <c r="P198" s="37"/>
      <c r="Q198" s="37"/>
      <c r="R198" s="37"/>
      <c r="S198" s="37"/>
      <c r="T198" s="37"/>
      <c r="U198" s="37"/>
      <c r="V198" s="37"/>
      <c r="W198" s="37"/>
      <c r="X198" s="37"/>
      <c r="Y198" s="37"/>
      <c r="Z198" s="37"/>
      <c r="AA198" s="37"/>
    </row>
    <row r="199" spans="1:27" ht="15" hidden="1" customHeight="1" collapsed="1">
      <c r="A199" s="261" t="s">
        <v>703</v>
      </c>
      <c r="B199" s="180"/>
      <c r="C199" s="180"/>
      <c r="D199" s="180"/>
      <c r="E199" s="180"/>
      <c r="F199" s="137"/>
      <c r="G199" s="231"/>
      <c r="H199" s="304"/>
      <c r="I199" s="240"/>
      <c r="J199" s="276"/>
      <c r="K199" s="501"/>
      <c r="L199" s="248"/>
      <c r="M199" s="440"/>
      <c r="N199" s="37"/>
      <c r="O199" s="37"/>
      <c r="P199" s="37"/>
      <c r="Q199" s="37"/>
      <c r="R199" s="37"/>
      <c r="S199" s="37"/>
      <c r="T199" s="37"/>
      <c r="U199" s="37"/>
      <c r="V199" s="37"/>
      <c r="W199" s="37"/>
      <c r="X199" s="37"/>
      <c r="Y199" s="37"/>
      <c r="Z199" s="37"/>
      <c r="AA199" s="37"/>
    </row>
    <row r="200" spans="1:27" hidden="1" outlineLevel="1">
      <c r="A200" s="382" t="s">
        <v>89</v>
      </c>
      <c r="B200" s="185"/>
      <c r="C200" s="185"/>
      <c r="D200" s="185"/>
      <c r="E200" s="185"/>
      <c r="F200" s="136"/>
      <c r="G200" s="235"/>
      <c r="H200" s="305"/>
      <c r="I200" s="278"/>
      <c r="J200" s="277"/>
      <c r="K200" s="502"/>
      <c r="L200" s="249"/>
      <c r="M200" s="442"/>
      <c r="N200" s="37"/>
      <c r="O200" s="37"/>
      <c r="P200" s="37"/>
      <c r="Q200" s="37"/>
      <c r="R200" s="37"/>
      <c r="S200" s="37"/>
      <c r="T200" s="37"/>
      <c r="U200" s="37"/>
      <c r="V200" s="37"/>
      <c r="W200" s="37"/>
      <c r="X200" s="37"/>
      <c r="Y200" s="37"/>
      <c r="Z200" s="37"/>
      <c r="AA200" s="37"/>
    </row>
    <row r="201" spans="1:27" ht="327.75" hidden="1" outlineLevel="1">
      <c r="A201" s="386">
        <v>12</v>
      </c>
      <c r="B201" s="118" t="s">
        <v>704</v>
      </c>
      <c r="C201" s="122" t="s">
        <v>705</v>
      </c>
      <c r="D201" s="118" t="s">
        <v>706</v>
      </c>
      <c r="E201" s="118" t="s">
        <v>707</v>
      </c>
      <c r="F201" s="41" t="s">
        <v>46</v>
      </c>
      <c r="G201" s="331" t="s">
        <v>1202</v>
      </c>
      <c r="H201" s="196"/>
      <c r="I201" s="460"/>
      <c r="J201" s="196"/>
      <c r="K201" s="500"/>
      <c r="L201" s="196" t="s">
        <v>1178</v>
      </c>
      <c r="M201" s="200" t="s">
        <v>1385</v>
      </c>
      <c r="N201" s="37"/>
      <c r="O201" s="37"/>
      <c r="P201" s="37"/>
      <c r="Q201" s="37"/>
      <c r="R201" s="37"/>
      <c r="S201" s="37"/>
      <c r="T201" s="37"/>
      <c r="U201" s="37"/>
      <c r="V201" s="37"/>
      <c r="W201" s="37"/>
      <c r="X201" s="37"/>
      <c r="Y201" s="37"/>
      <c r="Z201" s="37"/>
      <c r="AA201" s="37"/>
    </row>
    <row r="202" spans="1:27" ht="85.5" hidden="1" outlineLevel="1">
      <c r="A202" s="387">
        <v>13</v>
      </c>
      <c r="B202" s="121" t="s">
        <v>708</v>
      </c>
      <c r="C202" s="135" t="s">
        <v>709</v>
      </c>
      <c r="D202" s="121" t="s">
        <v>710</v>
      </c>
      <c r="E202" s="121" t="s">
        <v>711</v>
      </c>
      <c r="F202" s="41" t="s">
        <v>46</v>
      </c>
      <c r="G202" s="331" t="s">
        <v>1203</v>
      </c>
      <c r="H202" s="196"/>
      <c r="I202" s="460"/>
      <c r="J202" s="196"/>
      <c r="K202" s="500"/>
      <c r="L202" s="196" t="s">
        <v>1178</v>
      </c>
      <c r="M202" s="200" t="s">
        <v>1385</v>
      </c>
      <c r="N202" s="37"/>
      <c r="O202" s="37"/>
      <c r="P202" s="37"/>
      <c r="Q202" s="37"/>
      <c r="R202" s="37"/>
      <c r="S202" s="37"/>
      <c r="T202" s="37"/>
      <c r="U202" s="37"/>
      <c r="V202" s="37"/>
      <c r="W202" s="37"/>
      <c r="X202" s="37"/>
      <c r="Y202" s="37"/>
      <c r="Z202" s="37"/>
      <c r="AA202" s="37"/>
    </row>
    <row r="203" spans="1:27" ht="15" hidden="1" customHeight="1" collapsed="1">
      <c r="A203" s="261" t="s">
        <v>712</v>
      </c>
      <c r="B203" s="180"/>
      <c r="C203" s="180"/>
      <c r="D203" s="180"/>
      <c r="E203" s="180"/>
      <c r="F203" s="137"/>
      <c r="G203" s="231"/>
      <c r="H203" s="304"/>
      <c r="I203" s="240"/>
      <c r="J203" s="276"/>
      <c r="K203" s="501"/>
      <c r="L203" s="248"/>
      <c r="M203" s="440"/>
      <c r="N203" s="37"/>
      <c r="O203" s="37"/>
      <c r="P203" s="37"/>
      <c r="Q203" s="37"/>
      <c r="R203" s="37"/>
      <c r="S203" s="37"/>
      <c r="T203" s="37"/>
      <c r="U203" s="37"/>
      <c r="V203" s="37"/>
      <c r="W203" s="37"/>
      <c r="X203" s="37"/>
      <c r="Y203" s="37"/>
      <c r="Z203" s="37"/>
      <c r="AA203" s="37"/>
    </row>
    <row r="204" spans="1:27" hidden="1" outlineLevel="1">
      <c r="A204" s="382" t="s">
        <v>88</v>
      </c>
      <c r="B204" s="185"/>
      <c r="C204" s="185"/>
      <c r="D204" s="185"/>
      <c r="E204" s="185"/>
      <c r="F204" s="136"/>
      <c r="G204" s="235"/>
      <c r="H204" s="305"/>
      <c r="I204" s="278"/>
      <c r="J204" s="277"/>
      <c r="K204" s="502"/>
      <c r="L204" s="249"/>
      <c r="M204" s="442"/>
      <c r="N204" s="37"/>
      <c r="O204" s="37"/>
      <c r="P204" s="37"/>
      <c r="Q204" s="37"/>
      <c r="R204" s="37"/>
      <c r="S204" s="37"/>
      <c r="T204" s="37"/>
      <c r="U204" s="37"/>
      <c r="V204" s="37"/>
      <c r="W204" s="37"/>
      <c r="X204" s="37"/>
      <c r="Y204" s="37"/>
      <c r="Z204" s="37"/>
      <c r="AA204" s="37"/>
    </row>
    <row r="205" spans="1:27" ht="409.5" hidden="1" outlineLevel="1">
      <c r="A205" s="386">
        <v>29</v>
      </c>
      <c r="B205" s="118" t="s">
        <v>713</v>
      </c>
      <c r="C205" s="123" t="s">
        <v>714</v>
      </c>
      <c r="D205" s="118" t="s">
        <v>715</v>
      </c>
      <c r="E205" s="118" t="s">
        <v>716</v>
      </c>
      <c r="F205" s="45" t="s">
        <v>1175</v>
      </c>
      <c r="G205" s="331" t="s">
        <v>1204</v>
      </c>
      <c r="H205" s="196"/>
      <c r="I205" s="459"/>
      <c r="J205" s="196"/>
      <c r="K205" s="500"/>
      <c r="L205" s="196" t="s">
        <v>1178</v>
      </c>
      <c r="M205" s="218" t="s">
        <v>1384</v>
      </c>
      <c r="N205" s="37"/>
      <c r="O205" s="37"/>
      <c r="P205" s="37"/>
      <c r="Q205" s="37"/>
      <c r="R205" s="37"/>
      <c r="S205" s="37"/>
      <c r="T205" s="37"/>
      <c r="U205" s="37"/>
      <c r="V205" s="37"/>
      <c r="W205" s="37"/>
      <c r="X205" s="37"/>
      <c r="Y205" s="37"/>
      <c r="Z205" s="37"/>
      <c r="AA205" s="37"/>
    </row>
    <row r="206" spans="1:27" ht="409.5" hidden="1" outlineLevel="1">
      <c r="A206" s="387">
        <v>30</v>
      </c>
      <c r="B206" s="121" t="s">
        <v>717</v>
      </c>
      <c r="C206" s="135" t="s">
        <v>718</v>
      </c>
      <c r="D206" s="121" t="s">
        <v>719</v>
      </c>
      <c r="E206" s="121" t="s">
        <v>720</v>
      </c>
      <c r="F206" s="45" t="s">
        <v>1175</v>
      </c>
      <c r="G206" s="331" t="s">
        <v>1205</v>
      </c>
      <c r="H206" s="196"/>
      <c r="I206" s="459"/>
      <c r="J206" s="196"/>
      <c r="K206" s="500"/>
      <c r="L206" s="196" t="s">
        <v>1178</v>
      </c>
      <c r="M206" s="200" t="s">
        <v>1384</v>
      </c>
      <c r="N206" s="37"/>
      <c r="O206" s="37"/>
      <c r="P206" s="37"/>
      <c r="Q206" s="37"/>
      <c r="R206" s="37"/>
      <c r="S206" s="37"/>
      <c r="T206" s="37"/>
      <c r="U206" s="37"/>
      <c r="V206" s="37"/>
      <c r="W206" s="37"/>
      <c r="X206" s="37"/>
      <c r="Y206" s="37"/>
      <c r="Z206" s="37"/>
      <c r="AA206" s="37"/>
    </row>
    <row r="207" spans="1:27" ht="15" hidden="1" customHeight="1" collapsed="1">
      <c r="A207" s="263" t="s">
        <v>721</v>
      </c>
      <c r="B207" s="187"/>
      <c r="C207" s="187"/>
      <c r="D207" s="187"/>
      <c r="E207" s="187"/>
      <c r="F207" s="138"/>
      <c r="G207" s="236"/>
      <c r="H207" s="308"/>
      <c r="I207" s="282"/>
      <c r="J207" s="281"/>
      <c r="K207" s="504"/>
      <c r="L207" s="251"/>
      <c r="M207" s="443"/>
      <c r="N207" s="37"/>
      <c r="O207" s="37"/>
      <c r="P207" s="37"/>
      <c r="Q207" s="37"/>
      <c r="R207" s="37"/>
      <c r="S207" s="37"/>
      <c r="T207" s="37"/>
      <c r="U207" s="37"/>
      <c r="V207" s="37"/>
      <c r="W207" s="37"/>
      <c r="X207" s="37"/>
      <c r="Y207" s="37"/>
      <c r="Z207" s="37"/>
      <c r="AA207" s="37"/>
    </row>
    <row r="208" spans="1:27" hidden="1" outlineLevel="1">
      <c r="A208" s="385" t="s">
        <v>88</v>
      </c>
      <c r="B208" s="186"/>
      <c r="C208" s="186"/>
      <c r="D208" s="186"/>
      <c r="E208" s="186"/>
      <c r="F208" s="119"/>
      <c r="G208" s="237"/>
      <c r="H208" s="307"/>
      <c r="I208" s="280"/>
      <c r="J208" s="279"/>
      <c r="K208" s="503"/>
      <c r="L208" s="250"/>
      <c r="M208" s="444"/>
      <c r="N208" s="37"/>
      <c r="O208" s="37"/>
      <c r="P208" s="37"/>
      <c r="Q208" s="37"/>
      <c r="R208" s="37"/>
      <c r="S208" s="37"/>
      <c r="T208" s="37"/>
      <c r="U208" s="37"/>
      <c r="V208" s="37"/>
      <c r="W208" s="37"/>
      <c r="X208" s="37"/>
      <c r="Y208" s="37"/>
      <c r="Z208" s="37"/>
      <c r="AA208" s="37"/>
    </row>
    <row r="209" spans="1:27" ht="409.5" hidden="1" outlineLevel="1">
      <c r="A209" s="383">
        <v>31</v>
      </c>
      <c r="B209" s="120" t="s">
        <v>722</v>
      </c>
      <c r="C209" s="133" t="s">
        <v>723</v>
      </c>
      <c r="D209" s="120" t="s">
        <v>724</v>
      </c>
      <c r="E209" s="120" t="s">
        <v>725</v>
      </c>
      <c r="F209" s="45" t="s">
        <v>1175</v>
      </c>
      <c r="G209" s="331" t="s">
        <v>1206</v>
      </c>
      <c r="H209" s="196"/>
      <c r="I209" s="459"/>
      <c r="J209" s="196"/>
      <c r="K209" s="500"/>
      <c r="L209" s="196" t="s">
        <v>1178</v>
      </c>
      <c r="M209" s="200" t="s">
        <v>1386</v>
      </c>
      <c r="N209" s="37"/>
      <c r="O209" s="37"/>
      <c r="P209" s="37"/>
      <c r="Q209" s="37"/>
      <c r="R209" s="37"/>
      <c r="S209" s="37"/>
      <c r="T209" s="37"/>
      <c r="U209" s="37"/>
      <c r="V209" s="37"/>
      <c r="W209" s="37"/>
      <c r="X209" s="37"/>
      <c r="Y209" s="37"/>
      <c r="Z209" s="37"/>
      <c r="AA209" s="37"/>
    </row>
    <row r="210" spans="1:27" ht="15" hidden="1" customHeight="1" collapsed="1">
      <c r="A210" s="355" t="s">
        <v>726</v>
      </c>
      <c r="B210" s="180"/>
      <c r="C210" s="180"/>
      <c r="D210" s="180"/>
      <c r="E210" s="180"/>
      <c r="F210" s="137"/>
      <c r="G210" s="231"/>
      <c r="H210" s="304"/>
      <c r="I210" s="240"/>
      <c r="J210" s="276"/>
      <c r="K210" s="501"/>
      <c r="L210" s="248"/>
      <c r="M210" s="440"/>
      <c r="N210" s="37"/>
      <c r="O210" s="37"/>
      <c r="P210" s="37"/>
      <c r="Q210" s="37"/>
      <c r="R210" s="37"/>
      <c r="S210" s="37"/>
      <c r="T210" s="37"/>
      <c r="U210" s="37"/>
      <c r="V210" s="37"/>
      <c r="W210" s="37"/>
      <c r="X210" s="37"/>
      <c r="Y210" s="37"/>
      <c r="Z210" s="37"/>
      <c r="AA210" s="37"/>
    </row>
    <row r="211" spans="1:27" hidden="1" outlineLevel="1">
      <c r="A211" s="382" t="s">
        <v>89</v>
      </c>
      <c r="B211" s="185"/>
      <c r="C211" s="185"/>
      <c r="D211" s="185"/>
      <c r="E211" s="185"/>
      <c r="F211" s="136"/>
      <c r="G211" s="235"/>
      <c r="H211" s="305"/>
      <c r="I211" s="278"/>
      <c r="J211" s="277"/>
      <c r="K211" s="502"/>
      <c r="L211" s="249"/>
      <c r="M211" s="442"/>
      <c r="N211" s="37"/>
      <c r="O211" s="37"/>
      <c r="P211" s="37"/>
      <c r="Q211" s="37"/>
      <c r="R211" s="37"/>
      <c r="S211" s="37"/>
      <c r="T211" s="37"/>
      <c r="U211" s="37"/>
      <c r="V211" s="37"/>
      <c r="W211" s="37"/>
      <c r="X211" s="37"/>
      <c r="Y211" s="37"/>
      <c r="Z211" s="37"/>
      <c r="AA211" s="37"/>
    </row>
    <row r="212" spans="1:27" ht="156.75" hidden="1" outlineLevel="1">
      <c r="A212" s="386">
        <v>32</v>
      </c>
      <c r="B212" s="118" t="s">
        <v>727</v>
      </c>
      <c r="C212" s="122" t="s">
        <v>728</v>
      </c>
      <c r="D212" s="118" t="s">
        <v>729</v>
      </c>
      <c r="E212" s="118" t="s">
        <v>730</v>
      </c>
      <c r="F212" s="45" t="s">
        <v>1175</v>
      </c>
      <c r="G212" s="331" t="s">
        <v>1207</v>
      </c>
      <c r="H212" s="196" t="s">
        <v>1178</v>
      </c>
      <c r="I212" s="461" t="s">
        <v>1340</v>
      </c>
      <c r="J212" s="196" t="s">
        <v>1182</v>
      </c>
      <c r="K212" s="500" t="s">
        <v>1314</v>
      </c>
      <c r="L212" s="196" t="s">
        <v>1182</v>
      </c>
      <c r="M212" s="275" t="s">
        <v>1434</v>
      </c>
      <c r="N212" s="37"/>
      <c r="O212" s="37"/>
      <c r="P212" s="37"/>
      <c r="Q212" s="37"/>
      <c r="R212" s="37"/>
      <c r="S212" s="37"/>
      <c r="T212" s="37"/>
      <c r="U212" s="37"/>
      <c r="V212" s="37"/>
      <c r="W212" s="37"/>
      <c r="X212" s="37"/>
      <c r="Y212" s="37"/>
      <c r="Z212" s="37"/>
      <c r="AA212" s="37"/>
    </row>
    <row r="213" spans="1:27" ht="313.5" hidden="1" outlineLevel="1">
      <c r="A213" s="390">
        <v>33</v>
      </c>
      <c r="B213" s="52" t="s">
        <v>731</v>
      </c>
      <c r="C213" s="52" t="s">
        <v>642</v>
      </c>
      <c r="D213" s="52" t="s">
        <v>643</v>
      </c>
      <c r="E213" s="52" t="s">
        <v>732</v>
      </c>
      <c r="F213" s="45" t="s">
        <v>1175</v>
      </c>
      <c r="G213" s="331" t="s">
        <v>1188</v>
      </c>
      <c r="H213" s="196" t="s">
        <v>1178</v>
      </c>
      <c r="I213" s="461" t="s">
        <v>1341</v>
      </c>
      <c r="J213" s="196" t="s">
        <v>1181</v>
      </c>
      <c r="K213" s="500" t="s">
        <v>1431</v>
      </c>
      <c r="L213" s="196" t="s">
        <v>1178</v>
      </c>
      <c r="M213" s="275" t="s">
        <v>1435</v>
      </c>
      <c r="N213" s="37"/>
      <c r="O213" s="37"/>
      <c r="P213" s="37"/>
      <c r="Q213" s="37"/>
      <c r="R213" s="37"/>
      <c r="S213" s="37"/>
      <c r="T213" s="37"/>
      <c r="U213" s="37"/>
      <c r="V213" s="37"/>
      <c r="W213" s="37"/>
      <c r="X213" s="37"/>
      <c r="Y213" s="37"/>
      <c r="Z213" s="37"/>
      <c r="AA213" s="37"/>
    </row>
    <row r="214" spans="1:27" ht="313.5" hidden="1" outlineLevel="1">
      <c r="A214" s="387">
        <v>34</v>
      </c>
      <c r="B214" s="121" t="s">
        <v>733</v>
      </c>
      <c r="C214" s="134" t="s">
        <v>705</v>
      </c>
      <c r="D214" s="121" t="s">
        <v>734</v>
      </c>
      <c r="E214" s="121" t="s">
        <v>707</v>
      </c>
      <c r="F214" s="41" t="s">
        <v>46</v>
      </c>
      <c r="G214" s="331" t="s">
        <v>1202</v>
      </c>
      <c r="H214" s="196"/>
      <c r="I214" s="461"/>
      <c r="J214" s="196"/>
      <c r="K214" s="500"/>
      <c r="L214" s="196" t="s">
        <v>1182</v>
      </c>
      <c r="M214" s="275" t="s">
        <v>1387</v>
      </c>
      <c r="N214" s="37"/>
      <c r="O214" s="37"/>
      <c r="P214" s="37"/>
      <c r="Q214" s="37"/>
      <c r="R214" s="37"/>
      <c r="S214" s="37"/>
      <c r="T214" s="37"/>
      <c r="U214" s="37"/>
      <c r="V214" s="37"/>
      <c r="W214" s="37"/>
      <c r="X214" s="37"/>
      <c r="Y214" s="37"/>
      <c r="Z214" s="37"/>
      <c r="AA214" s="37"/>
    </row>
    <row r="215" spans="1:27" ht="15" hidden="1" customHeight="1">
      <c r="A215" s="355" t="s">
        <v>735</v>
      </c>
      <c r="B215" s="180"/>
      <c r="C215" s="180"/>
      <c r="D215" s="180"/>
      <c r="E215" s="180"/>
      <c r="F215" s="137"/>
      <c r="G215" s="231"/>
      <c r="H215" s="304"/>
      <c r="I215" s="240"/>
      <c r="J215" s="276"/>
      <c r="K215" s="501"/>
      <c r="L215" s="248"/>
      <c r="M215" s="440"/>
      <c r="N215" s="37"/>
      <c r="O215" s="37"/>
      <c r="P215" s="37"/>
      <c r="Q215" s="37"/>
      <c r="R215" s="37"/>
      <c r="S215" s="37"/>
      <c r="T215" s="37"/>
      <c r="U215" s="37"/>
      <c r="V215" s="37"/>
      <c r="W215" s="37"/>
      <c r="X215" s="37"/>
      <c r="Y215" s="37"/>
      <c r="Z215" s="37"/>
      <c r="AA215" s="37"/>
    </row>
    <row r="216" spans="1:27" hidden="1" outlineLevel="1">
      <c r="A216" s="382" t="s">
        <v>89</v>
      </c>
      <c r="B216" s="185"/>
      <c r="C216" s="185"/>
      <c r="D216" s="185"/>
      <c r="E216" s="185"/>
      <c r="F216" s="136"/>
      <c r="G216" s="235"/>
      <c r="H216" s="305"/>
      <c r="I216" s="278"/>
      <c r="J216" s="277"/>
      <c r="K216" s="502"/>
      <c r="L216" s="249"/>
      <c r="M216" s="442"/>
      <c r="N216" s="37"/>
      <c r="O216" s="37"/>
      <c r="P216" s="37"/>
      <c r="Q216" s="37"/>
      <c r="R216" s="37"/>
      <c r="S216" s="37"/>
      <c r="T216" s="37"/>
      <c r="U216" s="37"/>
      <c r="V216" s="37"/>
      <c r="W216" s="37"/>
      <c r="X216" s="37"/>
      <c r="Y216" s="37"/>
      <c r="Z216" s="37"/>
      <c r="AA216" s="37"/>
    </row>
    <row r="217" spans="1:27" ht="128.25" outlineLevel="1">
      <c r="A217" s="383">
        <v>35</v>
      </c>
      <c r="B217" s="120" t="s">
        <v>736</v>
      </c>
      <c r="C217" s="120" t="s">
        <v>737</v>
      </c>
      <c r="D217" s="120" t="s">
        <v>738</v>
      </c>
      <c r="E217" s="120" t="s">
        <v>739</v>
      </c>
      <c r="F217" s="152" t="s">
        <v>56</v>
      </c>
      <c r="G217" s="331" t="s">
        <v>1208</v>
      </c>
      <c r="H217" s="196" t="s">
        <v>1178</v>
      </c>
      <c r="I217" s="461" t="s">
        <v>1432</v>
      </c>
      <c r="J217" s="196" t="s">
        <v>1182</v>
      </c>
      <c r="K217" s="500" t="s">
        <v>1314</v>
      </c>
      <c r="L217" s="196" t="s">
        <v>1178</v>
      </c>
      <c r="M217" s="427" t="s">
        <v>1452</v>
      </c>
      <c r="N217" s="522"/>
      <c r="O217" s="37"/>
      <c r="P217" s="37"/>
      <c r="Q217" s="37"/>
      <c r="R217" s="37"/>
      <c r="S217" s="37"/>
      <c r="T217" s="37"/>
      <c r="U217" s="37"/>
      <c r="V217" s="37"/>
      <c r="W217" s="37"/>
      <c r="X217" s="37"/>
      <c r="Y217" s="37"/>
      <c r="Z217" s="37"/>
      <c r="AA217" s="37"/>
    </row>
    <row r="218" spans="1:27" ht="15" hidden="1" customHeight="1" collapsed="1">
      <c r="A218" s="355" t="s">
        <v>740</v>
      </c>
      <c r="B218" s="180"/>
      <c r="C218" s="180"/>
      <c r="D218" s="180"/>
      <c r="E218" s="180"/>
      <c r="F218" s="137"/>
      <c r="G218" s="231"/>
      <c r="H218" s="304"/>
      <c r="I218" s="240"/>
      <c r="J218" s="276"/>
      <c r="K218" s="501"/>
      <c r="L218" s="248"/>
      <c r="M218" s="440"/>
      <c r="N218" s="37"/>
      <c r="O218" s="37"/>
      <c r="P218" s="37"/>
      <c r="Q218" s="37"/>
      <c r="R218" s="37"/>
      <c r="S218" s="37"/>
      <c r="T218" s="37"/>
      <c r="U218" s="37"/>
      <c r="V218" s="37"/>
      <c r="W218" s="37"/>
      <c r="X218" s="37"/>
      <c r="Y218" s="37"/>
      <c r="Z218" s="37"/>
      <c r="AA218" s="37"/>
    </row>
    <row r="219" spans="1:27" hidden="1" outlineLevel="1">
      <c r="A219" s="382" t="s">
        <v>741</v>
      </c>
      <c r="B219" s="185"/>
      <c r="C219" s="185"/>
      <c r="D219" s="185"/>
      <c r="E219" s="185"/>
      <c r="F219" s="136"/>
      <c r="G219" s="235"/>
      <c r="H219" s="305"/>
      <c r="I219" s="278"/>
      <c r="J219" s="277"/>
      <c r="K219" s="502"/>
      <c r="L219" s="249"/>
      <c r="M219" s="442"/>
      <c r="N219" s="37"/>
      <c r="O219" s="37"/>
      <c r="P219" s="37"/>
      <c r="Q219" s="37"/>
      <c r="R219" s="37"/>
      <c r="S219" s="37"/>
      <c r="T219" s="37"/>
      <c r="U219" s="37"/>
      <c r="V219" s="37"/>
      <c r="W219" s="37"/>
      <c r="X219" s="37"/>
      <c r="Y219" s="37"/>
      <c r="Z219" s="37"/>
      <c r="AA219" s="37"/>
    </row>
    <row r="220" spans="1:27" ht="177" hidden="1" customHeight="1" outlineLevel="1">
      <c r="A220" s="383">
        <v>36</v>
      </c>
      <c r="B220" s="120" t="s">
        <v>742</v>
      </c>
      <c r="C220" s="133" t="s">
        <v>743</v>
      </c>
      <c r="D220" s="120" t="s">
        <v>744</v>
      </c>
      <c r="E220" s="120" t="s">
        <v>745</v>
      </c>
      <c r="F220" s="41" t="s">
        <v>46</v>
      </c>
      <c r="G220" s="331" t="s">
        <v>1209</v>
      </c>
      <c r="H220" s="196"/>
      <c r="I220" s="289"/>
      <c r="J220" s="196" t="s">
        <v>1182</v>
      </c>
      <c r="K220" s="500" t="s">
        <v>1314</v>
      </c>
      <c r="L220" s="196" t="s">
        <v>1182</v>
      </c>
      <c r="M220" s="427" t="s">
        <v>1314</v>
      </c>
      <c r="N220" s="37"/>
      <c r="O220" s="37"/>
      <c r="P220" s="37"/>
      <c r="Q220" s="37"/>
      <c r="R220" s="37"/>
      <c r="S220" s="37"/>
      <c r="T220" s="37"/>
      <c r="U220" s="37"/>
      <c r="V220" s="37"/>
      <c r="W220" s="37"/>
      <c r="X220" s="37"/>
      <c r="Y220" s="37"/>
      <c r="Z220" s="37"/>
      <c r="AA220" s="37"/>
    </row>
    <row r="221" spans="1:27" ht="15" hidden="1" customHeight="1" collapsed="1">
      <c r="A221" s="355" t="s">
        <v>746</v>
      </c>
      <c r="B221" s="180"/>
      <c r="C221" s="180"/>
      <c r="D221" s="180"/>
      <c r="E221" s="180"/>
      <c r="F221" s="137"/>
      <c r="G221" s="231"/>
      <c r="H221" s="304"/>
      <c r="I221" s="240"/>
      <c r="J221" s="276"/>
      <c r="K221" s="501"/>
      <c r="L221" s="248"/>
      <c r="M221" s="440"/>
      <c r="N221" s="37"/>
      <c r="O221" s="37"/>
      <c r="P221" s="37"/>
      <c r="Q221" s="37"/>
      <c r="R221" s="37"/>
      <c r="S221" s="37"/>
      <c r="T221" s="37"/>
      <c r="U221" s="37"/>
      <c r="V221" s="37"/>
      <c r="W221" s="37"/>
      <c r="X221" s="37"/>
      <c r="Y221" s="37"/>
      <c r="Z221" s="37"/>
      <c r="AA221" s="37"/>
    </row>
    <row r="222" spans="1:27" hidden="1" outlineLevel="1">
      <c r="A222" s="382" t="s">
        <v>741</v>
      </c>
      <c r="B222" s="185"/>
      <c r="C222" s="185"/>
      <c r="D222" s="185"/>
      <c r="E222" s="185"/>
      <c r="F222" s="136"/>
      <c r="G222" s="235"/>
      <c r="H222" s="305"/>
      <c r="I222" s="278"/>
      <c r="J222" s="277"/>
      <c r="K222" s="502"/>
      <c r="L222" s="249"/>
      <c r="M222" s="442"/>
      <c r="N222" s="37"/>
      <c r="O222" s="37"/>
      <c r="P222" s="37"/>
      <c r="Q222" s="37"/>
      <c r="R222" s="37"/>
      <c r="S222" s="37"/>
      <c r="T222" s="37"/>
      <c r="U222" s="37"/>
      <c r="V222" s="37"/>
      <c r="W222" s="37"/>
      <c r="X222" s="37"/>
      <c r="Y222" s="37"/>
      <c r="Z222" s="37"/>
      <c r="AA222" s="37"/>
    </row>
    <row r="223" spans="1:27" ht="156.75" hidden="1" outlineLevel="1">
      <c r="A223" s="383">
        <v>37</v>
      </c>
      <c r="B223" s="120" t="s">
        <v>747</v>
      </c>
      <c r="C223" s="133" t="s">
        <v>743</v>
      </c>
      <c r="D223" s="120" t="s">
        <v>744</v>
      </c>
      <c r="E223" s="120" t="s">
        <v>745</v>
      </c>
      <c r="F223" s="41" t="s">
        <v>46</v>
      </c>
      <c r="G223" s="331" t="s">
        <v>1209</v>
      </c>
      <c r="H223" s="196"/>
      <c r="I223" s="289"/>
      <c r="J223" s="196" t="s">
        <v>1182</v>
      </c>
      <c r="K223" s="500" t="s">
        <v>1314</v>
      </c>
      <c r="L223" s="196" t="s">
        <v>1182</v>
      </c>
      <c r="M223" s="427" t="s">
        <v>1314</v>
      </c>
      <c r="N223" s="37"/>
      <c r="O223" s="37"/>
      <c r="P223" s="37"/>
      <c r="Q223" s="37"/>
      <c r="R223" s="37"/>
      <c r="S223" s="37"/>
      <c r="T223" s="37"/>
      <c r="U223" s="37"/>
      <c r="V223" s="37"/>
      <c r="W223" s="37"/>
      <c r="X223" s="37"/>
      <c r="Y223" s="37"/>
      <c r="Z223" s="37"/>
      <c r="AA223" s="37"/>
    </row>
    <row r="224" spans="1:27" ht="15" hidden="1" customHeight="1">
      <c r="A224" s="391" t="s">
        <v>602</v>
      </c>
      <c r="B224" s="182"/>
      <c r="C224" s="182"/>
      <c r="D224" s="182"/>
      <c r="E224" s="182"/>
      <c r="F224" s="175"/>
      <c r="G224" s="253"/>
      <c r="H224" s="309"/>
      <c r="I224" s="243"/>
      <c r="J224" s="283"/>
      <c r="K224" s="505"/>
      <c r="L224" s="252"/>
      <c r="M224" s="450"/>
      <c r="N224" s="37"/>
      <c r="O224" s="37"/>
      <c r="P224" s="37"/>
      <c r="Q224" s="37"/>
      <c r="R224" s="37"/>
      <c r="S224" s="37"/>
      <c r="T224" s="37"/>
      <c r="U224" s="37"/>
      <c r="V224" s="37"/>
      <c r="W224" s="37"/>
      <c r="X224" s="37"/>
      <c r="Y224" s="37"/>
      <c r="Z224" s="37"/>
      <c r="AA224" s="37"/>
    </row>
    <row r="225" spans="1:27" ht="15" hidden="1" customHeight="1" collapsed="1">
      <c r="A225" s="392" t="s">
        <v>748</v>
      </c>
      <c r="B225" s="183"/>
      <c r="C225" s="183"/>
      <c r="D225" s="183"/>
      <c r="E225" s="183"/>
      <c r="F225" s="174"/>
      <c r="G225" s="255"/>
      <c r="H225" s="310"/>
      <c r="I225" s="245"/>
      <c r="J225" s="284"/>
      <c r="K225" s="506"/>
      <c r="L225" s="254"/>
      <c r="M225" s="451"/>
      <c r="N225" s="37"/>
      <c r="O225" s="37"/>
      <c r="P225" s="37"/>
      <c r="Q225" s="37"/>
      <c r="R225" s="37"/>
      <c r="S225" s="37"/>
      <c r="T225" s="37"/>
      <c r="U225" s="37"/>
      <c r="V225" s="37"/>
      <c r="W225" s="37"/>
      <c r="X225" s="37"/>
      <c r="Y225" s="37"/>
      <c r="Z225" s="37"/>
      <c r="AA225" s="37"/>
    </row>
    <row r="226" spans="1:27" ht="142.5" hidden="1" outlineLevel="1">
      <c r="A226" s="386">
        <v>1</v>
      </c>
      <c r="B226" s="118" t="s">
        <v>749</v>
      </c>
      <c r="C226" s="118" t="s">
        <v>750</v>
      </c>
      <c r="D226" s="118" t="s">
        <v>751</v>
      </c>
      <c r="E226" s="118" t="s">
        <v>752</v>
      </c>
      <c r="F226" s="46" t="s">
        <v>1176</v>
      </c>
      <c r="G226" s="331" t="s">
        <v>1210</v>
      </c>
      <c r="H226" s="196"/>
      <c r="I226" s="262"/>
      <c r="J226" s="196"/>
      <c r="K226" s="500"/>
      <c r="L226" s="196" t="s">
        <v>1183</v>
      </c>
      <c r="M226" s="262" t="s">
        <v>1388</v>
      </c>
      <c r="N226" s="37"/>
      <c r="O226" s="37"/>
      <c r="P226" s="37"/>
      <c r="Q226" s="37"/>
      <c r="R226" s="37"/>
      <c r="S226" s="37"/>
      <c r="T226" s="37"/>
      <c r="U226" s="37"/>
      <c r="V226" s="37"/>
      <c r="W226" s="37"/>
      <c r="X226" s="37"/>
      <c r="Y226" s="37"/>
      <c r="Z226" s="37"/>
      <c r="AA226" s="37"/>
    </row>
    <row r="227" spans="1:27" ht="242.25" hidden="1" outlineLevel="1">
      <c r="A227" s="390">
        <v>2</v>
      </c>
      <c r="B227" s="52" t="s">
        <v>753</v>
      </c>
      <c r="C227" s="52" t="s">
        <v>754</v>
      </c>
      <c r="D227" s="52" t="s">
        <v>755</v>
      </c>
      <c r="E227" s="52" t="s">
        <v>756</v>
      </c>
      <c r="F227" s="46" t="s">
        <v>1176</v>
      </c>
      <c r="G227" s="331" t="s">
        <v>1211</v>
      </c>
      <c r="H227" s="196"/>
      <c r="I227" s="262"/>
      <c r="J227" s="196"/>
      <c r="K227" s="500"/>
      <c r="L227" s="196" t="s">
        <v>1178</v>
      </c>
      <c r="M227" s="262" t="s">
        <v>1389</v>
      </c>
      <c r="N227" s="37"/>
      <c r="O227" s="37"/>
      <c r="P227" s="37"/>
      <c r="Q227" s="37"/>
      <c r="R227" s="37"/>
      <c r="S227" s="37"/>
      <c r="T227" s="37"/>
      <c r="U227" s="37"/>
      <c r="V227" s="37"/>
      <c r="W227" s="37"/>
      <c r="X227" s="37"/>
      <c r="Y227" s="37"/>
      <c r="Z227" s="37"/>
      <c r="AA227" s="37"/>
    </row>
    <row r="228" spans="1:27" ht="299.25" hidden="1" outlineLevel="1">
      <c r="A228" s="390">
        <v>3</v>
      </c>
      <c r="B228" s="52" t="s">
        <v>757</v>
      </c>
      <c r="C228" s="52" t="s">
        <v>758</v>
      </c>
      <c r="D228" s="52" t="s">
        <v>759</v>
      </c>
      <c r="E228" s="52" t="s">
        <v>760</v>
      </c>
      <c r="F228" s="45" t="s">
        <v>1175</v>
      </c>
      <c r="G228" s="331" t="s">
        <v>1212</v>
      </c>
      <c r="H228" s="196"/>
      <c r="I228" s="262"/>
      <c r="J228" s="196"/>
      <c r="K228" s="500"/>
      <c r="L228" s="196" t="s">
        <v>1183</v>
      </c>
      <c r="M228" s="262" t="s">
        <v>1447</v>
      </c>
      <c r="N228" s="37"/>
      <c r="O228" s="37"/>
      <c r="P228" s="37"/>
      <c r="Q228" s="37"/>
      <c r="R228" s="37"/>
      <c r="S228" s="37"/>
      <c r="T228" s="37"/>
      <c r="U228" s="37"/>
      <c r="V228" s="37"/>
      <c r="W228" s="37"/>
      <c r="X228" s="37"/>
      <c r="Y228" s="37"/>
      <c r="Z228" s="37"/>
      <c r="AA228" s="37"/>
    </row>
    <row r="229" spans="1:27" ht="185.25" hidden="1" outlineLevel="1">
      <c r="A229" s="390">
        <v>4</v>
      </c>
      <c r="B229" s="52" t="s">
        <v>761</v>
      </c>
      <c r="C229" s="52" t="s">
        <v>762</v>
      </c>
      <c r="D229" s="52" t="s">
        <v>763</v>
      </c>
      <c r="E229" s="52" t="s">
        <v>764</v>
      </c>
      <c r="F229" s="45" t="s">
        <v>1175</v>
      </c>
      <c r="G229" s="331" t="s">
        <v>1213</v>
      </c>
      <c r="H229" s="196"/>
      <c r="I229" s="262"/>
      <c r="J229" s="196"/>
      <c r="K229" s="500"/>
      <c r="L229" s="196" t="s">
        <v>1178</v>
      </c>
      <c r="M229" s="262" t="s">
        <v>1390</v>
      </c>
      <c r="N229" s="37"/>
      <c r="O229" s="37"/>
      <c r="P229" s="37"/>
      <c r="Q229" s="37"/>
      <c r="R229" s="37"/>
      <c r="S229" s="37"/>
      <c r="T229" s="37"/>
      <c r="U229" s="37"/>
      <c r="V229" s="37"/>
      <c r="W229" s="37"/>
      <c r="X229" s="37"/>
      <c r="Y229" s="37"/>
      <c r="Z229" s="37"/>
      <c r="AA229" s="37"/>
    </row>
    <row r="230" spans="1:27" ht="285" hidden="1" outlineLevel="1">
      <c r="A230" s="390">
        <v>5</v>
      </c>
      <c r="B230" s="52" t="s">
        <v>765</v>
      </c>
      <c r="C230" s="52" t="s">
        <v>766</v>
      </c>
      <c r="D230" s="52" t="s">
        <v>767</v>
      </c>
      <c r="E230" s="52" t="s">
        <v>768</v>
      </c>
      <c r="F230" s="41" t="s">
        <v>46</v>
      </c>
      <c r="G230" s="331" t="s">
        <v>1214</v>
      </c>
      <c r="H230" s="196"/>
      <c r="I230" s="262"/>
      <c r="J230" s="196"/>
      <c r="K230" s="500"/>
      <c r="L230" s="196" t="s">
        <v>1183</v>
      </c>
      <c r="M230" s="262" t="s">
        <v>1391</v>
      </c>
      <c r="N230" s="37"/>
      <c r="O230" s="37"/>
      <c r="P230" s="37"/>
      <c r="Q230" s="37"/>
      <c r="R230" s="37"/>
      <c r="S230" s="37"/>
      <c r="T230" s="37"/>
      <c r="U230" s="37"/>
      <c r="V230" s="37"/>
      <c r="W230" s="37"/>
      <c r="X230" s="37"/>
      <c r="Y230" s="37"/>
      <c r="Z230" s="37"/>
      <c r="AA230" s="37"/>
    </row>
    <row r="231" spans="1:27" ht="199.5" hidden="1" outlineLevel="1">
      <c r="A231" s="387">
        <v>6</v>
      </c>
      <c r="B231" s="121" t="s">
        <v>769</v>
      </c>
      <c r="C231" s="121" t="s">
        <v>770</v>
      </c>
      <c r="D231" s="121" t="s">
        <v>771</v>
      </c>
      <c r="E231" s="121" t="s">
        <v>772</v>
      </c>
      <c r="F231" s="45" t="s">
        <v>1175</v>
      </c>
      <c r="G231" s="331" t="s">
        <v>1215</v>
      </c>
      <c r="H231" s="196"/>
      <c r="I231" s="262"/>
      <c r="J231" s="196"/>
      <c r="K231" s="500"/>
      <c r="L231" s="196" t="s">
        <v>1183</v>
      </c>
      <c r="M231" s="275" t="s">
        <v>1442</v>
      </c>
      <c r="N231" s="37"/>
      <c r="O231" s="37"/>
      <c r="P231" s="37"/>
      <c r="Q231" s="37"/>
      <c r="R231" s="37"/>
      <c r="S231" s="37"/>
      <c r="T231" s="37"/>
      <c r="U231" s="37"/>
      <c r="V231" s="37"/>
      <c r="W231" s="37"/>
      <c r="X231" s="37"/>
      <c r="Y231" s="37"/>
      <c r="Z231" s="37"/>
      <c r="AA231" s="37"/>
    </row>
    <row r="232" spans="1:27" ht="15" hidden="1" customHeight="1" collapsed="1">
      <c r="A232" s="355" t="s">
        <v>773</v>
      </c>
      <c r="B232" s="180"/>
      <c r="C232" s="180"/>
      <c r="D232" s="180"/>
      <c r="E232" s="180"/>
      <c r="F232" s="137"/>
      <c r="G232" s="231"/>
      <c r="H232" s="304"/>
      <c r="I232" s="240"/>
      <c r="J232" s="276"/>
      <c r="K232" s="501"/>
      <c r="L232" s="248"/>
      <c r="M232" s="440"/>
      <c r="N232" s="37"/>
      <c r="O232" s="37"/>
      <c r="P232" s="37"/>
      <c r="Q232" s="37"/>
      <c r="R232" s="37"/>
      <c r="S232" s="37"/>
      <c r="T232" s="37"/>
      <c r="U232" s="37"/>
      <c r="V232" s="37"/>
      <c r="W232" s="37"/>
      <c r="X232" s="37"/>
      <c r="Y232" s="37"/>
      <c r="Z232" s="37"/>
      <c r="AA232" s="37"/>
    </row>
    <row r="233" spans="1:27" ht="409.5" hidden="1" outlineLevel="1">
      <c r="A233" s="386">
        <v>1</v>
      </c>
      <c r="B233" s="118" t="s">
        <v>774</v>
      </c>
      <c r="C233" s="118" t="s">
        <v>775</v>
      </c>
      <c r="D233" s="118" t="s">
        <v>776</v>
      </c>
      <c r="E233" s="118" t="s">
        <v>777</v>
      </c>
      <c r="F233" s="45" t="s">
        <v>1175</v>
      </c>
      <c r="G233" s="331" t="s">
        <v>1216</v>
      </c>
      <c r="H233" s="196"/>
      <c r="I233" s="262"/>
      <c r="J233" s="196"/>
      <c r="K233" s="500"/>
      <c r="L233" s="196" t="s">
        <v>1178</v>
      </c>
      <c r="M233" s="262" t="s">
        <v>1342</v>
      </c>
      <c r="N233" s="37"/>
      <c r="O233" s="37"/>
      <c r="P233" s="37"/>
      <c r="Q233" s="37"/>
      <c r="R233" s="37"/>
      <c r="S233" s="37"/>
      <c r="T233" s="37"/>
      <c r="U233" s="37"/>
      <c r="V233" s="37"/>
      <c r="W233" s="37"/>
      <c r="X233" s="37"/>
      <c r="Y233" s="37"/>
      <c r="Z233" s="37"/>
      <c r="AA233" s="37"/>
    </row>
    <row r="234" spans="1:27" ht="409.5" hidden="1" outlineLevel="1">
      <c r="A234" s="390">
        <v>2</v>
      </c>
      <c r="B234" s="52" t="s">
        <v>778</v>
      </c>
      <c r="C234" s="52" t="s">
        <v>779</v>
      </c>
      <c r="D234" s="52" t="s">
        <v>780</v>
      </c>
      <c r="E234" s="52" t="s">
        <v>781</v>
      </c>
      <c r="F234" s="45" t="s">
        <v>1175</v>
      </c>
      <c r="G234" s="331" t="s">
        <v>1217</v>
      </c>
      <c r="H234" s="196"/>
      <c r="I234" s="456"/>
      <c r="J234" s="196"/>
      <c r="K234" s="500"/>
      <c r="L234" s="196" t="s">
        <v>1178</v>
      </c>
      <c r="M234" s="218" t="s">
        <v>1392</v>
      </c>
      <c r="N234" s="37"/>
      <c r="O234" s="37"/>
      <c r="P234" s="37"/>
      <c r="Q234" s="37"/>
      <c r="R234" s="37"/>
      <c r="S234" s="37"/>
      <c r="T234" s="37"/>
      <c r="U234" s="37"/>
      <c r="V234" s="37"/>
      <c r="W234" s="37"/>
      <c r="X234" s="37"/>
      <c r="Y234" s="37"/>
      <c r="Z234" s="37"/>
      <c r="AA234" s="37"/>
    </row>
    <row r="235" spans="1:27" ht="409.5" hidden="1" outlineLevel="1">
      <c r="A235" s="390">
        <v>3</v>
      </c>
      <c r="B235" s="52" t="s">
        <v>782</v>
      </c>
      <c r="C235" s="52" t="s">
        <v>783</v>
      </c>
      <c r="D235" s="52" t="s">
        <v>784</v>
      </c>
      <c r="E235" s="52" t="s">
        <v>785</v>
      </c>
      <c r="F235" s="45" t="s">
        <v>1175</v>
      </c>
      <c r="G235" s="331" t="s">
        <v>1218</v>
      </c>
      <c r="H235" s="196"/>
      <c r="I235" s="456"/>
      <c r="J235" s="196"/>
      <c r="K235" s="500"/>
      <c r="L235" s="196" t="s">
        <v>1178</v>
      </c>
      <c r="M235" s="218" t="s">
        <v>1393</v>
      </c>
      <c r="N235" s="37"/>
      <c r="O235" s="37"/>
      <c r="P235" s="37"/>
      <c r="Q235" s="37"/>
      <c r="R235" s="37"/>
      <c r="S235" s="37"/>
      <c r="T235" s="37"/>
      <c r="U235" s="37"/>
      <c r="V235" s="37"/>
      <c r="W235" s="37"/>
      <c r="X235" s="37"/>
      <c r="Y235" s="37"/>
      <c r="Z235" s="37"/>
      <c r="AA235" s="37"/>
    </row>
    <row r="236" spans="1:27" ht="409.5" hidden="1" outlineLevel="1">
      <c r="A236" s="387">
        <v>4</v>
      </c>
      <c r="B236" s="121" t="s">
        <v>786</v>
      </c>
      <c r="C236" s="121" t="s">
        <v>787</v>
      </c>
      <c r="D236" s="121" t="s">
        <v>788</v>
      </c>
      <c r="E236" s="121" t="s">
        <v>789</v>
      </c>
      <c r="F236" s="45" t="s">
        <v>1175</v>
      </c>
      <c r="G236" s="331" t="s">
        <v>1219</v>
      </c>
      <c r="H236" s="196"/>
      <c r="I236" s="456"/>
      <c r="J236" s="196"/>
      <c r="K236" s="500"/>
      <c r="L236" s="196" t="s">
        <v>1178</v>
      </c>
      <c r="M236" s="218" t="s">
        <v>1394</v>
      </c>
      <c r="N236" s="37"/>
      <c r="O236" s="37"/>
      <c r="P236" s="37"/>
      <c r="Q236" s="37"/>
      <c r="R236" s="37"/>
      <c r="S236" s="37"/>
      <c r="T236" s="37"/>
      <c r="U236" s="37"/>
      <c r="V236" s="37"/>
      <c r="W236" s="37"/>
      <c r="X236" s="37"/>
      <c r="Y236" s="37"/>
      <c r="Z236" s="37"/>
      <c r="AA236" s="37"/>
    </row>
    <row r="237" spans="1:27" ht="15" hidden="1" customHeight="1" collapsed="1">
      <c r="A237" s="355" t="s">
        <v>790</v>
      </c>
      <c r="B237" s="180"/>
      <c r="C237" s="180"/>
      <c r="D237" s="180"/>
      <c r="E237" s="180"/>
      <c r="F237" s="137"/>
      <c r="G237" s="231"/>
      <c r="H237" s="304"/>
      <c r="I237" s="240"/>
      <c r="J237" s="276"/>
      <c r="K237" s="501"/>
      <c r="L237" s="248"/>
      <c r="M237" s="440"/>
      <c r="N237" s="37"/>
      <c r="O237" s="37"/>
      <c r="P237" s="37"/>
      <c r="Q237" s="37"/>
      <c r="R237" s="37"/>
      <c r="S237" s="37"/>
      <c r="T237" s="37"/>
      <c r="U237" s="37"/>
      <c r="V237" s="37"/>
      <c r="W237" s="37"/>
      <c r="X237" s="37"/>
      <c r="Y237" s="37"/>
      <c r="Z237" s="37"/>
      <c r="AA237" s="37"/>
    </row>
    <row r="238" spans="1:27" ht="327.75" hidden="1" outlineLevel="1">
      <c r="A238" s="386">
        <v>1</v>
      </c>
      <c r="B238" s="118" t="s">
        <v>791</v>
      </c>
      <c r="C238" s="118" t="s">
        <v>792</v>
      </c>
      <c r="D238" s="118" t="s">
        <v>793</v>
      </c>
      <c r="E238" s="118" t="s">
        <v>794</v>
      </c>
      <c r="F238" s="45" t="s">
        <v>1175</v>
      </c>
      <c r="G238" s="331" t="s">
        <v>1220</v>
      </c>
      <c r="H238" s="196"/>
      <c r="I238" s="456"/>
      <c r="J238" s="196"/>
      <c r="K238" s="500"/>
      <c r="L238" s="196" t="s">
        <v>1182</v>
      </c>
      <c r="M238" s="427" t="s">
        <v>1314</v>
      </c>
      <c r="N238" s="37"/>
      <c r="O238" s="37"/>
      <c r="P238" s="37"/>
      <c r="Q238" s="37"/>
      <c r="R238" s="37"/>
      <c r="S238" s="37"/>
      <c r="T238" s="37"/>
      <c r="U238" s="37"/>
      <c r="V238" s="37"/>
      <c r="W238" s="37"/>
      <c r="X238" s="37"/>
      <c r="Y238" s="37"/>
      <c r="Z238" s="37"/>
      <c r="AA238" s="37"/>
    </row>
    <row r="239" spans="1:27" ht="242.25" hidden="1" outlineLevel="1">
      <c r="A239" s="390">
        <v>2</v>
      </c>
      <c r="B239" s="52" t="s">
        <v>795</v>
      </c>
      <c r="C239" s="52" t="s">
        <v>796</v>
      </c>
      <c r="D239" s="52" t="s">
        <v>797</v>
      </c>
      <c r="E239" s="52" t="s">
        <v>798</v>
      </c>
      <c r="F239" s="45" t="s">
        <v>1175</v>
      </c>
      <c r="G239" s="331" t="s">
        <v>1221</v>
      </c>
      <c r="H239" s="196"/>
      <c r="I239" s="456"/>
      <c r="J239" s="196"/>
      <c r="K239" s="500"/>
      <c r="L239" s="196" t="s">
        <v>1182</v>
      </c>
      <c r="M239" s="427" t="s">
        <v>1314</v>
      </c>
      <c r="N239" s="37"/>
      <c r="O239" s="37"/>
      <c r="P239" s="37"/>
      <c r="Q239" s="37"/>
      <c r="R239" s="37"/>
      <c r="S239" s="37"/>
      <c r="T239" s="37"/>
      <c r="U239" s="37"/>
      <c r="V239" s="37"/>
      <c r="W239" s="37"/>
      <c r="X239" s="37"/>
      <c r="Y239" s="37"/>
      <c r="Z239" s="37"/>
      <c r="AA239" s="37"/>
    </row>
    <row r="240" spans="1:27" ht="270.75" hidden="1" outlineLevel="1">
      <c r="A240" s="390">
        <v>3</v>
      </c>
      <c r="B240" s="52" t="s">
        <v>799</v>
      </c>
      <c r="C240" s="52" t="s">
        <v>800</v>
      </c>
      <c r="D240" s="52" t="s">
        <v>801</v>
      </c>
      <c r="E240" s="52" t="s">
        <v>802</v>
      </c>
      <c r="F240" s="45" t="s">
        <v>1175</v>
      </c>
      <c r="G240" s="331" t="s">
        <v>1222</v>
      </c>
      <c r="H240" s="196"/>
      <c r="I240" s="456"/>
      <c r="J240" s="196"/>
      <c r="K240" s="500"/>
      <c r="L240" s="196" t="s">
        <v>1182</v>
      </c>
      <c r="M240" s="427" t="s">
        <v>1314</v>
      </c>
      <c r="N240" s="37"/>
      <c r="O240" s="37"/>
      <c r="P240" s="37"/>
      <c r="Q240" s="37"/>
      <c r="R240" s="37"/>
      <c r="S240" s="37"/>
      <c r="T240" s="37"/>
      <c r="U240" s="37"/>
      <c r="V240" s="37"/>
      <c r="W240" s="37"/>
      <c r="X240" s="37"/>
      <c r="Y240" s="37"/>
      <c r="Z240" s="37"/>
      <c r="AA240" s="37"/>
    </row>
    <row r="241" spans="1:27" ht="142.5" hidden="1" outlineLevel="1">
      <c r="A241" s="390">
        <v>4</v>
      </c>
      <c r="B241" s="52" t="s">
        <v>803</v>
      </c>
      <c r="C241" s="52" t="s">
        <v>804</v>
      </c>
      <c r="D241" s="52" t="s">
        <v>805</v>
      </c>
      <c r="E241" s="52" t="s">
        <v>806</v>
      </c>
      <c r="F241" s="45" t="s">
        <v>1175</v>
      </c>
      <c r="G241" s="331" t="s">
        <v>1223</v>
      </c>
      <c r="H241" s="196"/>
      <c r="I241" s="456"/>
      <c r="J241" s="196"/>
      <c r="K241" s="500"/>
      <c r="L241" s="196" t="s">
        <v>1182</v>
      </c>
      <c r="M241" s="427" t="s">
        <v>1314</v>
      </c>
      <c r="N241" s="37"/>
      <c r="O241" s="37"/>
      <c r="P241" s="37"/>
      <c r="Q241" s="37"/>
      <c r="R241" s="37"/>
      <c r="S241" s="37"/>
      <c r="T241" s="37"/>
      <c r="U241" s="37"/>
      <c r="V241" s="37"/>
      <c r="W241" s="37"/>
      <c r="X241" s="37"/>
      <c r="Y241" s="37"/>
      <c r="Z241" s="37"/>
      <c r="AA241" s="37"/>
    </row>
    <row r="242" spans="1:27" ht="114" hidden="1" outlineLevel="1">
      <c r="A242" s="387">
        <v>5</v>
      </c>
      <c r="B242" s="121" t="s">
        <v>803</v>
      </c>
      <c r="C242" s="121" t="s">
        <v>807</v>
      </c>
      <c r="D242" s="121" t="s">
        <v>808</v>
      </c>
      <c r="E242" s="121" t="s">
        <v>809</v>
      </c>
      <c r="F242" s="96" t="s">
        <v>1175</v>
      </c>
      <c r="G242" s="332" t="s">
        <v>1224</v>
      </c>
      <c r="H242" s="196"/>
      <c r="I242" s="456"/>
      <c r="J242" s="196"/>
      <c r="K242" s="500"/>
      <c r="L242" s="196" t="s">
        <v>1182</v>
      </c>
      <c r="M242" s="427" t="s">
        <v>1314</v>
      </c>
      <c r="N242" s="37"/>
      <c r="O242" s="37"/>
      <c r="P242" s="37"/>
      <c r="Q242" s="37"/>
      <c r="R242" s="37"/>
      <c r="S242" s="37"/>
      <c r="T242" s="37"/>
      <c r="U242" s="37"/>
      <c r="V242" s="37"/>
      <c r="W242" s="37"/>
      <c r="X242" s="37"/>
      <c r="Y242" s="37"/>
      <c r="Z242" s="37"/>
      <c r="AA242" s="37"/>
    </row>
    <row r="243" spans="1:27" ht="112.5" hidden="1" customHeight="1" outlineLevel="1">
      <c r="A243" s="390">
        <v>6</v>
      </c>
      <c r="B243" s="52" t="s">
        <v>810</v>
      </c>
      <c r="C243" s="52" t="s">
        <v>811</v>
      </c>
      <c r="D243" s="52" t="s">
        <v>812</v>
      </c>
      <c r="E243" s="52" t="s">
        <v>813</v>
      </c>
      <c r="F243" s="170" t="s">
        <v>1175</v>
      </c>
      <c r="G243" s="393" t="s">
        <v>1225</v>
      </c>
      <c r="H243" s="196"/>
      <c r="I243" s="456"/>
      <c r="J243" s="196"/>
      <c r="K243" s="500"/>
      <c r="L243" s="196" t="s">
        <v>1182</v>
      </c>
      <c r="M243" s="427" t="s">
        <v>1395</v>
      </c>
      <c r="N243" s="37"/>
      <c r="O243" s="37"/>
      <c r="P243" s="37"/>
      <c r="Q243" s="37"/>
      <c r="R243" s="37"/>
      <c r="S243" s="37"/>
      <c r="T243" s="37"/>
      <c r="U243" s="37"/>
      <c r="V243" s="37"/>
      <c r="W243" s="37"/>
      <c r="X243" s="37"/>
      <c r="Y243" s="37"/>
      <c r="Z243" s="37"/>
      <c r="AA243" s="37"/>
    </row>
    <row r="244" spans="1:27" ht="15" hidden="1" customHeight="1" collapsed="1">
      <c r="A244" s="392" t="s">
        <v>814</v>
      </c>
      <c r="B244" s="183"/>
      <c r="C244" s="183"/>
      <c r="D244" s="183"/>
      <c r="E244" s="183"/>
      <c r="F244" s="174"/>
      <c r="G244" s="255"/>
      <c r="H244" s="310"/>
      <c r="I244" s="245"/>
      <c r="J244" s="284"/>
      <c r="K244" s="506"/>
      <c r="L244" s="254"/>
      <c r="M244" s="451"/>
      <c r="N244" s="37"/>
      <c r="O244" s="37"/>
      <c r="P244" s="37"/>
      <c r="Q244" s="37"/>
      <c r="R244" s="37"/>
      <c r="S244" s="37"/>
      <c r="T244" s="37"/>
      <c r="U244" s="37"/>
      <c r="V244" s="37"/>
      <c r="W244" s="37"/>
      <c r="X244" s="37"/>
      <c r="Y244" s="37"/>
      <c r="Z244" s="37"/>
      <c r="AA244" s="37"/>
    </row>
    <row r="245" spans="1:27" ht="71.25" hidden="1" outlineLevel="1">
      <c r="A245" s="386">
        <v>1</v>
      </c>
      <c r="B245" s="118" t="s">
        <v>815</v>
      </c>
      <c r="C245" s="118" t="s">
        <v>816</v>
      </c>
      <c r="D245" s="118" t="s">
        <v>817</v>
      </c>
      <c r="E245" s="118" t="s">
        <v>818</v>
      </c>
      <c r="F245" s="97" t="s">
        <v>1175</v>
      </c>
      <c r="G245" s="329" t="s">
        <v>1226</v>
      </c>
      <c r="H245" s="196"/>
      <c r="I245" s="456"/>
      <c r="J245" s="196"/>
      <c r="K245" s="500"/>
      <c r="L245" s="196" t="s">
        <v>1182</v>
      </c>
      <c r="M245" s="275" t="s">
        <v>1396</v>
      </c>
      <c r="N245" s="37"/>
      <c r="O245" s="37"/>
      <c r="P245" s="37"/>
      <c r="Q245" s="37"/>
      <c r="R245" s="37"/>
      <c r="S245" s="37"/>
      <c r="T245" s="37"/>
      <c r="U245" s="37"/>
      <c r="V245" s="37"/>
      <c r="W245" s="37"/>
      <c r="X245" s="37"/>
      <c r="Y245" s="37"/>
      <c r="Z245" s="37"/>
      <c r="AA245" s="37"/>
    </row>
    <row r="246" spans="1:27" ht="128.25" hidden="1" outlineLevel="1">
      <c r="A246" s="390">
        <v>2</v>
      </c>
      <c r="B246" s="52" t="s">
        <v>819</v>
      </c>
      <c r="C246" s="52" t="s">
        <v>820</v>
      </c>
      <c r="D246" s="52" t="s">
        <v>821</v>
      </c>
      <c r="E246" s="52" t="s">
        <v>822</v>
      </c>
      <c r="F246" s="45" t="s">
        <v>1175</v>
      </c>
      <c r="G246" s="331" t="s">
        <v>1227</v>
      </c>
      <c r="H246" s="196"/>
      <c r="I246" s="456"/>
      <c r="J246" s="196"/>
      <c r="K246" s="500"/>
      <c r="L246" s="196" t="s">
        <v>1178</v>
      </c>
      <c r="M246" s="218" t="s">
        <v>1397</v>
      </c>
      <c r="N246" s="37"/>
      <c r="O246" s="37"/>
      <c r="P246" s="37"/>
      <c r="Q246" s="37"/>
      <c r="R246" s="37"/>
      <c r="S246" s="37"/>
      <c r="T246" s="37"/>
      <c r="U246" s="37"/>
      <c r="V246" s="37"/>
      <c r="W246" s="37"/>
      <c r="X246" s="37"/>
      <c r="Y246" s="37"/>
      <c r="Z246" s="37"/>
      <c r="AA246" s="37"/>
    </row>
    <row r="247" spans="1:27" ht="156.75" hidden="1" outlineLevel="1">
      <c r="A247" s="390">
        <v>3</v>
      </c>
      <c r="B247" s="52" t="s">
        <v>823</v>
      </c>
      <c r="C247" s="52" t="s">
        <v>824</v>
      </c>
      <c r="D247" s="52" t="s">
        <v>825</v>
      </c>
      <c r="E247" s="52" t="s">
        <v>826</v>
      </c>
      <c r="F247" s="41" t="s">
        <v>46</v>
      </c>
      <c r="G247" s="331" t="s">
        <v>1228</v>
      </c>
      <c r="H247" s="196"/>
      <c r="I247" s="456"/>
      <c r="J247" s="196"/>
      <c r="K247" s="500"/>
      <c r="L247" s="196" t="s">
        <v>1182</v>
      </c>
      <c r="M247" s="427" t="s">
        <v>1314</v>
      </c>
      <c r="N247" s="37"/>
      <c r="O247" s="37"/>
      <c r="P247" s="37"/>
      <c r="Q247" s="37"/>
      <c r="R247" s="37"/>
      <c r="S247" s="37"/>
      <c r="T247" s="37"/>
      <c r="U247" s="37"/>
      <c r="V247" s="37"/>
      <c r="W247" s="37"/>
      <c r="X247" s="37"/>
      <c r="Y247" s="37"/>
      <c r="Z247" s="37"/>
      <c r="AA247" s="37"/>
    </row>
    <row r="248" spans="1:27" ht="142.5" hidden="1" outlineLevel="1">
      <c r="A248" s="387">
        <v>4</v>
      </c>
      <c r="B248" s="121" t="s">
        <v>827</v>
      </c>
      <c r="C248" s="121" t="s">
        <v>828</v>
      </c>
      <c r="D248" s="121" t="s">
        <v>829</v>
      </c>
      <c r="E248" s="121" t="s">
        <v>830</v>
      </c>
      <c r="F248" s="46" t="s">
        <v>1176</v>
      </c>
      <c r="G248" s="331" t="s">
        <v>1229</v>
      </c>
      <c r="H248" s="196"/>
      <c r="I248" s="456"/>
      <c r="J248" s="196"/>
      <c r="K248" s="500"/>
      <c r="L248" s="196" t="s">
        <v>1182</v>
      </c>
      <c r="M248" s="427" t="s">
        <v>1314</v>
      </c>
      <c r="N248" s="37"/>
      <c r="O248" s="37"/>
      <c r="P248" s="37"/>
      <c r="Q248" s="37"/>
      <c r="R248" s="37"/>
      <c r="S248" s="37"/>
      <c r="T248" s="37"/>
      <c r="U248" s="37"/>
      <c r="V248" s="37"/>
      <c r="W248" s="37"/>
      <c r="X248" s="37"/>
      <c r="Y248" s="37"/>
      <c r="Z248" s="37"/>
      <c r="AA248" s="37"/>
    </row>
    <row r="249" spans="1:27" ht="15" hidden="1" customHeight="1" collapsed="1">
      <c r="A249" s="355" t="s">
        <v>831</v>
      </c>
      <c r="B249" s="180"/>
      <c r="C249" s="180"/>
      <c r="D249" s="180"/>
      <c r="E249" s="180"/>
      <c r="F249" s="137"/>
      <c r="G249" s="231"/>
      <c r="H249" s="304"/>
      <c r="I249" s="240"/>
      <c r="J249" s="276"/>
      <c r="K249" s="501"/>
      <c r="L249" s="248"/>
      <c r="M249" s="440"/>
      <c r="N249" s="37"/>
      <c r="O249" s="37"/>
      <c r="P249" s="37"/>
      <c r="Q249" s="37"/>
      <c r="R249" s="37"/>
      <c r="S249" s="37"/>
      <c r="T249" s="37"/>
      <c r="U249" s="37"/>
      <c r="V249" s="37"/>
      <c r="W249" s="37"/>
      <c r="X249" s="37"/>
      <c r="Y249" s="37"/>
      <c r="Z249" s="37"/>
      <c r="AA249" s="37"/>
    </row>
    <row r="250" spans="1:27" ht="156.75" hidden="1" outlineLevel="1">
      <c r="A250" s="386">
        <v>1</v>
      </c>
      <c r="B250" s="118" t="s">
        <v>832</v>
      </c>
      <c r="C250" s="118" t="s">
        <v>833</v>
      </c>
      <c r="D250" s="118" t="s">
        <v>834</v>
      </c>
      <c r="E250" s="118" t="s">
        <v>835</v>
      </c>
      <c r="F250" s="45" t="s">
        <v>1175</v>
      </c>
      <c r="G250" s="331" t="s">
        <v>1230</v>
      </c>
      <c r="H250" s="196"/>
      <c r="I250" s="311"/>
      <c r="J250" s="196"/>
      <c r="K250" s="500"/>
      <c r="L250" s="196" t="s">
        <v>1178</v>
      </c>
      <c r="M250" s="311" t="s">
        <v>1320</v>
      </c>
      <c r="N250" s="37"/>
      <c r="O250" s="37"/>
      <c r="P250" s="37"/>
      <c r="Q250" s="37"/>
      <c r="R250" s="37"/>
      <c r="S250" s="37"/>
      <c r="T250" s="37"/>
      <c r="U250" s="37"/>
      <c r="V250" s="37"/>
      <c r="W250" s="37"/>
      <c r="X250" s="37"/>
      <c r="Y250" s="37"/>
      <c r="Z250" s="37"/>
      <c r="AA250" s="37"/>
    </row>
    <row r="251" spans="1:27" ht="156.75" hidden="1" outlineLevel="1">
      <c r="A251" s="390">
        <v>2</v>
      </c>
      <c r="B251" s="52" t="s">
        <v>836</v>
      </c>
      <c r="C251" s="52" t="s">
        <v>837</v>
      </c>
      <c r="D251" s="52" t="s">
        <v>838</v>
      </c>
      <c r="E251" s="52" t="s">
        <v>839</v>
      </c>
      <c r="F251" s="41" t="s">
        <v>46</v>
      </c>
      <c r="G251" s="331" t="s">
        <v>1231</v>
      </c>
      <c r="H251" s="196"/>
      <c r="I251" s="311"/>
      <c r="J251" s="196"/>
      <c r="K251" s="500"/>
      <c r="L251" s="196" t="s">
        <v>1178</v>
      </c>
      <c r="M251" s="311" t="s">
        <v>1398</v>
      </c>
      <c r="N251" s="37"/>
      <c r="O251" s="37"/>
      <c r="P251" s="37"/>
      <c r="Q251" s="37"/>
      <c r="R251" s="37"/>
      <c r="S251" s="37"/>
      <c r="T251" s="37"/>
      <c r="U251" s="37"/>
      <c r="V251" s="37"/>
      <c r="W251" s="37"/>
      <c r="X251" s="37"/>
      <c r="Y251" s="37"/>
      <c r="Z251" s="37"/>
      <c r="AA251" s="37"/>
    </row>
    <row r="252" spans="1:27" ht="156.75" hidden="1" outlineLevel="1">
      <c r="A252" s="390">
        <v>3</v>
      </c>
      <c r="B252" s="52" t="s">
        <v>840</v>
      </c>
      <c r="C252" s="52" t="s">
        <v>841</v>
      </c>
      <c r="D252" s="52" t="s">
        <v>842</v>
      </c>
      <c r="E252" s="52" t="s">
        <v>843</v>
      </c>
      <c r="F252" s="46" t="s">
        <v>1176</v>
      </c>
      <c r="G252" s="331" t="s">
        <v>1232</v>
      </c>
      <c r="H252" s="196"/>
      <c r="I252" s="311"/>
      <c r="J252" s="196"/>
      <c r="K252" s="500"/>
      <c r="L252" s="196" t="s">
        <v>1178</v>
      </c>
      <c r="M252" s="311" t="s">
        <v>1399</v>
      </c>
      <c r="N252" s="37"/>
      <c r="O252" s="37"/>
      <c r="P252" s="37"/>
      <c r="Q252" s="37"/>
      <c r="R252" s="37"/>
      <c r="S252" s="37"/>
      <c r="T252" s="37"/>
      <c r="U252" s="37"/>
      <c r="V252" s="37"/>
      <c r="W252" s="37"/>
      <c r="X252" s="37"/>
      <c r="Y252" s="37"/>
      <c r="Z252" s="37"/>
      <c r="AA252" s="37"/>
    </row>
    <row r="253" spans="1:27" ht="142.5" hidden="1" outlineLevel="1">
      <c r="A253" s="390">
        <v>4</v>
      </c>
      <c r="B253" s="52" t="s">
        <v>844</v>
      </c>
      <c r="C253" s="52" t="s">
        <v>845</v>
      </c>
      <c r="D253" s="52" t="s">
        <v>846</v>
      </c>
      <c r="E253" s="52" t="s">
        <v>847</v>
      </c>
      <c r="F253" s="46" t="s">
        <v>1176</v>
      </c>
      <c r="G253" s="332" t="s">
        <v>1233</v>
      </c>
      <c r="H253" s="196"/>
      <c r="I253" s="311"/>
      <c r="J253" s="196"/>
      <c r="K253" s="500"/>
      <c r="L253" s="196" t="s">
        <v>1178</v>
      </c>
      <c r="M253" s="311" t="s">
        <v>1399</v>
      </c>
      <c r="N253" s="37"/>
      <c r="O253" s="37"/>
      <c r="P253" s="37"/>
      <c r="Q253" s="37"/>
      <c r="R253" s="37"/>
      <c r="S253" s="37"/>
      <c r="T253" s="37"/>
      <c r="U253" s="37"/>
      <c r="V253" s="37"/>
      <c r="W253" s="37"/>
      <c r="X253" s="37"/>
      <c r="Y253" s="37"/>
      <c r="Z253" s="37"/>
      <c r="AA253" s="37"/>
    </row>
    <row r="254" spans="1:27" ht="142.5" hidden="1" outlineLevel="1">
      <c r="A254" s="390">
        <v>5</v>
      </c>
      <c r="B254" s="52" t="s">
        <v>848</v>
      </c>
      <c r="C254" s="52" t="s">
        <v>849</v>
      </c>
      <c r="D254" s="52" t="s">
        <v>850</v>
      </c>
      <c r="E254" s="52" t="s">
        <v>851</v>
      </c>
      <c r="F254" s="165" t="s">
        <v>56</v>
      </c>
      <c r="G254" s="393" t="s">
        <v>1234</v>
      </c>
      <c r="H254" s="196"/>
      <c r="I254" s="311"/>
      <c r="J254" s="196"/>
      <c r="K254" s="500"/>
      <c r="L254" s="196" t="s">
        <v>1178</v>
      </c>
      <c r="M254" s="311" t="s">
        <v>1400</v>
      </c>
      <c r="N254" s="37"/>
      <c r="O254" s="37"/>
      <c r="P254" s="37"/>
      <c r="Q254" s="37"/>
      <c r="R254" s="37"/>
      <c r="S254" s="37"/>
      <c r="T254" s="37"/>
      <c r="U254" s="37"/>
      <c r="V254" s="37"/>
      <c r="W254" s="37"/>
      <c r="X254" s="37"/>
      <c r="Y254" s="37"/>
      <c r="Z254" s="37"/>
      <c r="AA254" s="37"/>
    </row>
    <row r="255" spans="1:27" ht="142.5" hidden="1" outlineLevel="1">
      <c r="A255" s="390">
        <v>6</v>
      </c>
      <c r="B255" s="52" t="s">
        <v>852</v>
      </c>
      <c r="C255" s="52" t="s">
        <v>853</v>
      </c>
      <c r="D255" s="52" t="s">
        <v>854</v>
      </c>
      <c r="E255" s="52" t="s">
        <v>855</v>
      </c>
      <c r="F255" s="99" t="s">
        <v>1175</v>
      </c>
      <c r="G255" s="338" t="s">
        <v>1235</v>
      </c>
      <c r="H255" s="196"/>
      <c r="I255" s="311"/>
      <c r="J255" s="196"/>
      <c r="K255" s="500"/>
      <c r="L255" s="196" t="s">
        <v>1178</v>
      </c>
      <c r="M255" s="311" t="s">
        <v>1401</v>
      </c>
      <c r="N255" s="37"/>
      <c r="O255" s="37"/>
      <c r="P255" s="37"/>
      <c r="Q255" s="37"/>
      <c r="R255" s="37"/>
      <c r="S255" s="37"/>
      <c r="T255" s="37"/>
      <c r="U255" s="37"/>
      <c r="V255" s="37"/>
      <c r="W255" s="37"/>
      <c r="X255" s="37"/>
      <c r="Y255" s="37"/>
      <c r="Z255" s="37"/>
      <c r="AA255" s="37"/>
    </row>
    <row r="256" spans="1:27" ht="128.25" hidden="1" outlineLevel="1">
      <c r="A256" s="387">
        <v>7</v>
      </c>
      <c r="B256" s="121" t="s">
        <v>856</v>
      </c>
      <c r="C256" s="121" t="s">
        <v>857</v>
      </c>
      <c r="D256" s="121" t="s">
        <v>858</v>
      </c>
      <c r="E256" s="121" t="s">
        <v>859</v>
      </c>
      <c r="F256" s="165" t="s">
        <v>56</v>
      </c>
      <c r="G256" s="393" t="s">
        <v>1236</v>
      </c>
      <c r="H256" s="196"/>
      <c r="I256" s="311"/>
      <c r="J256" s="196"/>
      <c r="K256" s="500"/>
      <c r="L256" s="196" t="s">
        <v>1178</v>
      </c>
      <c r="M256" s="311" t="s">
        <v>1402</v>
      </c>
      <c r="N256" s="37"/>
      <c r="O256" s="37"/>
      <c r="P256" s="37"/>
      <c r="Q256" s="37"/>
      <c r="R256" s="37"/>
      <c r="S256" s="37"/>
      <c r="T256" s="37"/>
      <c r="U256" s="37"/>
      <c r="V256" s="37"/>
      <c r="W256" s="37"/>
      <c r="X256" s="37"/>
      <c r="Y256" s="37"/>
      <c r="Z256" s="37"/>
      <c r="AA256" s="37"/>
    </row>
    <row r="257" spans="1:27" ht="15" hidden="1" customHeight="1" collapsed="1">
      <c r="A257" s="355" t="s">
        <v>860</v>
      </c>
      <c r="B257" s="180"/>
      <c r="C257" s="180"/>
      <c r="D257" s="180"/>
      <c r="E257" s="180"/>
      <c r="F257" s="174"/>
      <c r="G257" s="255"/>
      <c r="H257" s="304"/>
      <c r="I257" s="240"/>
      <c r="J257" s="276"/>
      <c r="K257" s="501"/>
      <c r="L257" s="248"/>
      <c r="M257" s="440"/>
      <c r="N257" s="37"/>
      <c r="O257" s="37"/>
      <c r="P257" s="37"/>
      <c r="Q257" s="37"/>
      <c r="R257" s="37"/>
      <c r="S257" s="37"/>
      <c r="T257" s="37"/>
      <c r="U257" s="37"/>
      <c r="V257" s="37"/>
      <c r="W257" s="37"/>
      <c r="X257" s="37"/>
      <c r="Y257" s="37"/>
      <c r="Z257" s="37"/>
      <c r="AA257" s="37"/>
    </row>
    <row r="258" spans="1:27" ht="199.5" hidden="1" outlineLevel="1">
      <c r="A258" s="386">
        <v>1</v>
      </c>
      <c r="B258" s="118" t="s">
        <v>861</v>
      </c>
      <c r="C258" s="118" t="s">
        <v>862</v>
      </c>
      <c r="D258" s="118" t="s">
        <v>863</v>
      </c>
      <c r="E258" s="118" t="s">
        <v>864</v>
      </c>
      <c r="F258" s="45" t="s">
        <v>1175</v>
      </c>
      <c r="G258" s="331" t="s">
        <v>1237</v>
      </c>
      <c r="H258" s="196"/>
      <c r="I258" s="289"/>
      <c r="J258" s="196"/>
      <c r="K258" s="500"/>
      <c r="L258" s="196" t="s">
        <v>1178</v>
      </c>
      <c r="M258" s="275" t="s">
        <v>1425</v>
      </c>
      <c r="N258" s="37"/>
      <c r="O258" s="37"/>
      <c r="P258" s="37"/>
      <c r="Q258" s="37"/>
      <c r="R258" s="37"/>
      <c r="S258" s="37"/>
      <c r="T258" s="37"/>
      <c r="U258" s="37"/>
      <c r="V258" s="37"/>
      <c r="W258" s="37"/>
      <c r="X258" s="37"/>
      <c r="Y258" s="37"/>
      <c r="Z258" s="37"/>
      <c r="AA258" s="37"/>
    </row>
    <row r="259" spans="1:27" ht="199.5" hidden="1" outlineLevel="1">
      <c r="A259" s="390">
        <v>2</v>
      </c>
      <c r="B259" s="52" t="s">
        <v>865</v>
      </c>
      <c r="C259" s="52" t="s">
        <v>866</v>
      </c>
      <c r="D259" s="52" t="s">
        <v>1405</v>
      </c>
      <c r="E259" s="52" t="s">
        <v>867</v>
      </c>
      <c r="F259" s="41" t="s">
        <v>46</v>
      </c>
      <c r="G259" s="332" t="s">
        <v>1238</v>
      </c>
      <c r="H259" s="196"/>
      <c r="I259" s="289"/>
      <c r="J259" s="196"/>
      <c r="K259" s="500"/>
      <c r="L259" s="196" t="s">
        <v>1182</v>
      </c>
      <c r="M259" s="427" t="s">
        <v>1314</v>
      </c>
      <c r="N259" s="37"/>
      <c r="O259" s="37"/>
      <c r="P259" s="37"/>
      <c r="Q259" s="37"/>
      <c r="R259" s="37"/>
      <c r="S259" s="37"/>
      <c r="T259" s="37"/>
      <c r="U259" s="37"/>
      <c r="V259" s="37"/>
      <c r="W259" s="37"/>
      <c r="X259" s="37"/>
      <c r="Y259" s="37"/>
      <c r="Z259" s="37"/>
      <c r="AA259" s="37"/>
    </row>
    <row r="260" spans="1:27" ht="171" hidden="1" outlineLevel="1">
      <c r="A260" s="390">
        <v>3</v>
      </c>
      <c r="B260" s="52" t="s">
        <v>861</v>
      </c>
      <c r="C260" s="52" t="s">
        <v>868</v>
      </c>
      <c r="D260" s="52" t="s">
        <v>1404</v>
      </c>
      <c r="E260" s="52" t="s">
        <v>869</v>
      </c>
      <c r="F260" s="165" t="s">
        <v>56</v>
      </c>
      <c r="G260" s="393" t="s">
        <v>1239</v>
      </c>
      <c r="H260" s="196"/>
      <c r="I260" s="289"/>
      <c r="J260" s="196"/>
      <c r="K260" s="500"/>
      <c r="L260" s="196" t="s">
        <v>1182</v>
      </c>
      <c r="M260" s="427" t="s">
        <v>1314</v>
      </c>
      <c r="N260" s="37"/>
      <c r="O260" s="37"/>
      <c r="P260" s="37"/>
      <c r="Q260" s="37"/>
      <c r="R260" s="37"/>
      <c r="S260" s="37"/>
      <c r="T260" s="37"/>
      <c r="U260" s="37"/>
      <c r="V260" s="37"/>
      <c r="W260" s="37"/>
      <c r="X260" s="37"/>
      <c r="Y260" s="37"/>
      <c r="Z260" s="37"/>
      <c r="AA260" s="37"/>
    </row>
    <row r="261" spans="1:27" ht="171" hidden="1" outlineLevel="1">
      <c r="A261" s="387">
        <v>4</v>
      </c>
      <c r="B261" s="121" t="s">
        <v>870</v>
      </c>
      <c r="C261" s="121" t="s">
        <v>871</v>
      </c>
      <c r="D261" s="121" t="s">
        <v>1403</v>
      </c>
      <c r="E261" s="121" t="s">
        <v>872</v>
      </c>
      <c r="F261" s="165" t="s">
        <v>56</v>
      </c>
      <c r="G261" s="393" t="s">
        <v>1240</v>
      </c>
      <c r="H261" s="196"/>
      <c r="I261" s="469"/>
      <c r="J261" s="196"/>
      <c r="K261" s="500"/>
      <c r="L261" s="196" t="s">
        <v>1182</v>
      </c>
      <c r="M261" s="427" t="s">
        <v>1314</v>
      </c>
      <c r="N261" s="37"/>
      <c r="O261" s="37"/>
      <c r="P261" s="37"/>
      <c r="Q261" s="37"/>
      <c r="R261" s="37"/>
      <c r="S261" s="37"/>
      <c r="T261" s="37"/>
      <c r="U261" s="37"/>
      <c r="V261" s="37"/>
      <c r="W261" s="37"/>
      <c r="X261" s="37"/>
      <c r="Y261" s="37"/>
      <c r="Z261" s="37"/>
      <c r="AA261" s="37"/>
    </row>
    <row r="262" spans="1:27" ht="15" hidden="1" customHeight="1" collapsed="1">
      <c r="A262" s="355" t="s">
        <v>873</v>
      </c>
      <c r="B262" s="180"/>
      <c r="C262" s="180"/>
      <c r="D262" s="180"/>
      <c r="E262" s="180"/>
      <c r="F262" s="174"/>
      <c r="G262" s="255"/>
      <c r="H262" s="304"/>
      <c r="I262" s="240"/>
      <c r="J262" s="276"/>
      <c r="K262" s="501"/>
      <c r="L262" s="248"/>
      <c r="M262" s="440"/>
      <c r="N262" s="37"/>
      <c r="O262" s="37"/>
      <c r="P262" s="37"/>
      <c r="Q262" s="37"/>
      <c r="R262" s="37"/>
      <c r="S262" s="37"/>
      <c r="T262" s="37"/>
      <c r="U262" s="37"/>
      <c r="V262" s="37"/>
      <c r="W262" s="37"/>
      <c r="X262" s="37"/>
      <c r="Y262" s="37"/>
      <c r="Z262" s="37"/>
      <c r="AA262" s="37"/>
    </row>
    <row r="263" spans="1:27" ht="327.75" hidden="1" outlineLevel="1">
      <c r="A263" s="386">
        <v>1</v>
      </c>
      <c r="B263" s="118" t="s">
        <v>874</v>
      </c>
      <c r="C263" s="118" t="s">
        <v>875</v>
      </c>
      <c r="D263" s="118" t="s">
        <v>876</v>
      </c>
      <c r="E263" s="118" t="s">
        <v>877</v>
      </c>
      <c r="F263" s="45" t="s">
        <v>1175</v>
      </c>
      <c r="G263" s="331" t="s">
        <v>1241</v>
      </c>
      <c r="H263" s="196"/>
      <c r="I263" s="311"/>
      <c r="J263" s="196"/>
      <c r="K263" s="500"/>
      <c r="L263" s="196" t="s">
        <v>1178</v>
      </c>
      <c r="M263" s="275" t="s">
        <v>1406</v>
      </c>
      <c r="N263" s="37"/>
      <c r="O263" s="37"/>
      <c r="P263" s="37"/>
      <c r="Q263" s="37"/>
      <c r="R263" s="37"/>
      <c r="S263" s="37"/>
      <c r="T263" s="37"/>
      <c r="U263" s="37"/>
      <c r="V263" s="37"/>
      <c r="W263" s="37"/>
      <c r="X263" s="37"/>
      <c r="Y263" s="37"/>
      <c r="Z263" s="37"/>
      <c r="AA263" s="37"/>
    </row>
    <row r="264" spans="1:27" ht="228" hidden="1" outlineLevel="1">
      <c r="A264" s="387">
        <v>2</v>
      </c>
      <c r="B264" s="121" t="s">
        <v>878</v>
      </c>
      <c r="C264" s="121" t="s">
        <v>879</v>
      </c>
      <c r="D264" s="121" t="s">
        <v>880</v>
      </c>
      <c r="E264" s="121" t="s">
        <v>881</v>
      </c>
      <c r="F264" s="41" t="s">
        <v>46</v>
      </c>
      <c r="G264" s="331" t="s">
        <v>1242</v>
      </c>
      <c r="H264" s="196"/>
      <c r="I264" s="311"/>
      <c r="J264" s="196"/>
      <c r="K264" s="500"/>
      <c r="L264" s="196" t="s">
        <v>1183</v>
      </c>
      <c r="M264" s="198" t="s">
        <v>1441</v>
      </c>
      <c r="N264" s="37"/>
      <c r="O264" s="37"/>
      <c r="P264" s="37"/>
      <c r="Q264" s="37"/>
      <c r="R264" s="37"/>
      <c r="S264" s="37"/>
      <c r="T264" s="37"/>
      <c r="U264" s="37"/>
      <c r="V264" s="37"/>
      <c r="W264" s="37"/>
      <c r="X264" s="37"/>
      <c r="Y264" s="37"/>
      <c r="Z264" s="37"/>
      <c r="AA264" s="37"/>
    </row>
    <row r="265" spans="1:27" ht="15" hidden="1" customHeight="1" collapsed="1">
      <c r="A265" s="355" t="s">
        <v>882</v>
      </c>
      <c r="B265" s="180"/>
      <c r="C265" s="180"/>
      <c r="D265" s="180"/>
      <c r="E265" s="180"/>
      <c r="F265" s="137"/>
      <c r="G265" s="231"/>
      <c r="H265" s="304"/>
      <c r="I265" s="240"/>
      <c r="J265" s="276"/>
      <c r="K265" s="501"/>
      <c r="L265" s="248"/>
      <c r="M265" s="440"/>
      <c r="N265" s="37"/>
      <c r="O265" s="37"/>
      <c r="P265" s="37"/>
      <c r="Q265" s="37"/>
      <c r="R265" s="37"/>
      <c r="S265" s="37"/>
      <c r="T265" s="37"/>
      <c r="U265" s="37"/>
      <c r="V265" s="37"/>
      <c r="W265" s="37"/>
      <c r="X265" s="37"/>
      <c r="Y265" s="37"/>
      <c r="Z265" s="37"/>
      <c r="AA265" s="37"/>
    </row>
    <row r="266" spans="1:27" ht="313.5" hidden="1" outlineLevel="1">
      <c r="A266" s="386">
        <v>1</v>
      </c>
      <c r="B266" s="118" t="s">
        <v>883</v>
      </c>
      <c r="C266" s="118" t="s">
        <v>884</v>
      </c>
      <c r="D266" s="118" t="s">
        <v>885</v>
      </c>
      <c r="E266" s="118" t="s">
        <v>886</v>
      </c>
      <c r="F266" s="45" t="s">
        <v>1175</v>
      </c>
      <c r="G266" s="331" t="s">
        <v>1243</v>
      </c>
      <c r="H266" s="196"/>
      <c r="I266" s="312"/>
      <c r="J266" s="196"/>
      <c r="K266" s="500"/>
      <c r="L266" s="196" t="s">
        <v>1183</v>
      </c>
      <c r="M266" s="312" t="s">
        <v>1407</v>
      </c>
      <c r="N266" s="37"/>
      <c r="O266" s="37"/>
      <c r="P266" s="37"/>
      <c r="Q266" s="37"/>
      <c r="R266" s="37"/>
      <c r="S266" s="37"/>
      <c r="T266" s="37"/>
      <c r="U266" s="37"/>
      <c r="V266" s="37"/>
      <c r="W266" s="37"/>
      <c r="X266" s="37"/>
      <c r="Y266" s="37"/>
      <c r="Z266" s="37"/>
      <c r="AA266" s="37"/>
    </row>
    <row r="267" spans="1:27" ht="213.75" hidden="1" outlineLevel="1">
      <c r="A267" s="390">
        <v>2</v>
      </c>
      <c r="B267" s="52" t="s">
        <v>887</v>
      </c>
      <c r="C267" s="52" t="s">
        <v>888</v>
      </c>
      <c r="D267" s="52" t="s">
        <v>889</v>
      </c>
      <c r="E267" s="52" t="s">
        <v>890</v>
      </c>
      <c r="F267" s="45" t="s">
        <v>1175</v>
      </c>
      <c r="G267" s="331" t="s">
        <v>1244</v>
      </c>
      <c r="H267" s="196"/>
      <c r="I267" s="311"/>
      <c r="J267" s="196"/>
      <c r="K267" s="500"/>
      <c r="L267" s="196" t="s">
        <v>1178</v>
      </c>
      <c r="M267" s="311" t="s">
        <v>1408</v>
      </c>
      <c r="N267" s="37"/>
      <c r="O267" s="37"/>
      <c r="P267" s="37"/>
      <c r="Q267" s="37"/>
      <c r="R267" s="37"/>
      <c r="S267" s="37"/>
      <c r="T267" s="37"/>
      <c r="U267" s="37"/>
      <c r="V267" s="37"/>
      <c r="W267" s="37"/>
      <c r="X267" s="37"/>
      <c r="Y267" s="37"/>
      <c r="Z267" s="37"/>
      <c r="AA267" s="37"/>
    </row>
    <row r="268" spans="1:27" ht="142.5" hidden="1" outlineLevel="1">
      <c r="A268" s="387">
        <v>3</v>
      </c>
      <c r="B268" s="121" t="s">
        <v>891</v>
      </c>
      <c r="C268" s="121" t="s">
        <v>892</v>
      </c>
      <c r="D268" s="121" t="s">
        <v>893</v>
      </c>
      <c r="E268" s="121" t="s">
        <v>894</v>
      </c>
      <c r="F268" s="41" t="s">
        <v>46</v>
      </c>
      <c r="G268" s="331" t="s">
        <v>1245</v>
      </c>
      <c r="H268" s="196"/>
      <c r="I268" s="311"/>
      <c r="J268" s="196"/>
      <c r="K268" s="500"/>
      <c r="L268" s="196" t="s">
        <v>1183</v>
      </c>
      <c r="M268" s="311" t="s">
        <v>1443</v>
      </c>
      <c r="N268" s="37"/>
      <c r="O268" s="37"/>
      <c r="P268" s="37"/>
      <c r="Q268" s="37"/>
      <c r="R268" s="37"/>
      <c r="S268" s="37"/>
      <c r="T268" s="37"/>
      <c r="U268" s="37"/>
      <c r="V268" s="37"/>
      <c r="W268" s="37"/>
      <c r="X268" s="37"/>
      <c r="Y268" s="37"/>
      <c r="Z268" s="37"/>
      <c r="AA268" s="37"/>
    </row>
    <row r="269" spans="1:27" ht="15" hidden="1" customHeight="1" collapsed="1">
      <c r="A269" s="355" t="s">
        <v>895</v>
      </c>
      <c r="B269" s="180"/>
      <c r="C269" s="180"/>
      <c r="D269" s="180"/>
      <c r="E269" s="180"/>
      <c r="F269" s="137"/>
      <c r="G269" s="231"/>
      <c r="H269" s="304"/>
      <c r="I269" s="240"/>
      <c r="J269" s="276"/>
      <c r="K269" s="501"/>
      <c r="L269" s="248"/>
      <c r="M269" s="440"/>
      <c r="N269" s="37"/>
      <c r="O269" s="37"/>
      <c r="P269" s="37"/>
      <c r="Q269" s="37"/>
      <c r="R269" s="37"/>
      <c r="S269" s="37"/>
      <c r="T269" s="37"/>
      <c r="U269" s="37"/>
      <c r="V269" s="37"/>
      <c r="W269" s="37"/>
      <c r="X269" s="37"/>
      <c r="Y269" s="37"/>
      <c r="Z269" s="37"/>
      <c r="AA269" s="37"/>
    </row>
    <row r="270" spans="1:27" ht="299.25" hidden="1" outlineLevel="1">
      <c r="A270" s="386">
        <v>1</v>
      </c>
      <c r="B270" s="118" t="s">
        <v>896</v>
      </c>
      <c r="C270" s="118" t="s">
        <v>897</v>
      </c>
      <c r="D270" s="118" t="s">
        <v>898</v>
      </c>
      <c r="E270" s="118" t="s">
        <v>899</v>
      </c>
      <c r="F270" s="160" t="s">
        <v>1177</v>
      </c>
      <c r="G270" s="393" t="s">
        <v>1246</v>
      </c>
      <c r="H270" s="196"/>
      <c r="I270" s="311"/>
      <c r="J270" s="196"/>
      <c r="K270" s="500"/>
      <c r="L270" s="196" t="s">
        <v>1178</v>
      </c>
      <c r="M270" s="311" t="s">
        <v>1409</v>
      </c>
      <c r="N270" s="37"/>
      <c r="O270" s="37"/>
      <c r="P270" s="37"/>
      <c r="Q270" s="37"/>
      <c r="R270" s="37"/>
      <c r="S270" s="37"/>
      <c r="T270" s="37"/>
      <c r="U270" s="37"/>
      <c r="V270" s="37"/>
      <c r="W270" s="37"/>
      <c r="X270" s="37"/>
      <c r="Y270" s="37"/>
      <c r="Z270" s="37"/>
      <c r="AA270" s="37"/>
    </row>
    <row r="271" spans="1:27" ht="185.25" hidden="1" outlineLevel="1">
      <c r="A271" s="387">
        <v>2</v>
      </c>
      <c r="B271" s="121" t="s">
        <v>900</v>
      </c>
      <c r="C271" s="121" t="s">
        <v>901</v>
      </c>
      <c r="D271" s="121" t="s">
        <v>902</v>
      </c>
      <c r="E271" s="121" t="s">
        <v>903</v>
      </c>
      <c r="F271" s="165" t="s">
        <v>56</v>
      </c>
      <c r="G271" s="393" t="s">
        <v>1247</v>
      </c>
      <c r="H271" s="196"/>
      <c r="I271" s="311"/>
      <c r="J271" s="196"/>
      <c r="K271" s="500"/>
      <c r="L271" s="196" t="s">
        <v>1178</v>
      </c>
      <c r="M271" s="311" t="s">
        <v>1410</v>
      </c>
      <c r="N271" s="37"/>
      <c r="O271" s="37"/>
      <c r="P271" s="37"/>
      <c r="Q271" s="37"/>
      <c r="R271" s="37"/>
      <c r="S271" s="37"/>
      <c r="T271" s="37"/>
      <c r="U271" s="37"/>
      <c r="V271" s="37"/>
      <c r="W271" s="37"/>
      <c r="X271" s="37"/>
      <c r="Y271" s="37"/>
      <c r="Z271" s="37"/>
      <c r="AA271" s="37"/>
    </row>
    <row r="272" spans="1:27" ht="15" hidden="1" customHeight="1" collapsed="1">
      <c r="A272" s="355" t="s">
        <v>904</v>
      </c>
      <c r="B272" s="180"/>
      <c r="C272" s="180"/>
      <c r="D272" s="180"/>
      <c r="E272" s="180"/>
      <c r="F272" s="174"/>
      <c r="G272" s="255"/>
      <c r="H272" s="304"/>
      <c r="I272" s="240"/>
      <c r="J272" s="276"/>
      <c r="K272" s="501"/>
      <c r="L272" s="248"/>
      <c r="M272" s="440"/>
      <c r="N272" s="37"/>
      <c r="O272" s="37"/>
      <c r="P272" s="37"/>
      <c r="Q272" s="37"/>
      <c r="R272" s="37"/>
      <c r="S272" s="37"/>
      <c r="T272" s="37"/>
      <c r="U272" s="37"/>
      <c r="V272" s="37"/>
      <c r="W272" s="37"/>
      <c r="X272" s="37"/>
      <c r="Y272" s="37"/>
      <c r="Z272" s="37"/>
      <c r="AA272" s="37"/>
    </row>
    <row r="273" spans="1:27" ht="409.5" hidden="1" outlineLevel="1">
      <c r="A273" s="386">
        <v>1</v>
      </c>
      <c r="B273" s="118" t="s">
        <v>905</v>
      </c>
      <c r="C273" s="118" t="s">
        <v>906</v>
      </c>
      <c r="D273" s="118" t="s">
        <v>907</v>
      </c>
      <c r="E273" s="118" t="s">
        <v>908</v>
      </c>
      <c r="F273" s="45" t="s">
        <v>1175</v>
      </c>
      <c r="G273" s="331" t="s">
        <v>1248</v>
      </c>
      <c r="H273" s="196"/>
      <c r="I273" s="311"/>
      <c r="J273" s="196"/>
      <c r="K273" s="500"/>
      <c r="L273" s="196" t="s">
        <v>1178</v>
      </c>
      <c r="M273" s="275" t="s">
        <v>1411</v>
      </c>
      <c r="N273" s="37"/>
      <c r="O273" s="37"/>
      <c r="P273" s="37"/>
      <c r="Q273" s="37"/>
      <c r="R273" s="37"/>
      <c r="S273" s="37"/>
      <c r="T273" s="37"/>
      <c r="U273" s="37"/>
      <c r="V273" s="37"/>
      <c r="W273" s="37"/>
      <c r="X273" s="37"/>
      <c r="Y273" s="37"/>
      <c r="Z273" s="37"/>
      <c r="AA273" s="37"/>
    </row>
    <row r="274" spans="1:27" ht="409.5" hidden="1" outlineLevel="1">
      <c r="A274" s="390">
        <v>2</v>
      </c>
      <c r="B274" s="52" t="s">
        <v>909</v>
      </c>
      <c r="C274" s="52" t="s">
        <v>910</v>
      </c>
      <c r="D274" s="52" t="s">
        <v>911</v>
      </c>
      <c r="E274" s="52" t="s">
        <v>912</v>
      </c>
      <c r="F274" s="45" t="s">
        <v>1175</v>
      </c>
      <c r="G274" s="331" t="s">
        <v>1249</v>
      </c>
      <c r="H274" s="196"/>
      <c r="I274" s="312"/>
      <c r="J274" s="196"/>
      <c r="K274" s="500"/>
      <c r="L274" s="196" t="s">
        <v>1183</v>
      </c>
      <c r="M274" s="312" t="s">
        <v>1412</v>
      </c>
      <c r="N274" s="37"/>
      <c r="O274" s="37"/>
      <c r="P274" s="37"/>
      <c r="Q274" s="37"/>
      <c r="R274" s="37"/>
      <c r="S274" s="37"/>
      <c r="T274" s="37"/>
      <c r="U274" s="37"/>
      <c r="V274" s="37"/>
      <c r="W274" s="37"/>
      <c r="X274" s="37"/>
      <c r="Y274" s="37"/>
      <c r="Z274" s="37"/>
      <c r="AA274" s="37"/>
    </row>
    <row r="275" spans="1:27" ht="370.5" hidden="1" outlineLevel="1">
      <c r="A275" s="390">
        <v>3</v>
      </c>
      <c r="B275" s="52" t="s">
        <v>913</v>
      </c>
      <c r="C275" s="52" t="s">
        <v>914</v>
      </c>
      <c r="D275" s="52" t="s">
        <v>915</v>
      </c>
      <c r="E275" s="52" t="s">
        <v>916</v>
      </c>
      <c r="F275" s="45" t="s">
        <v>1175</v>
      </c>
      <c r="G275" s="331" t="s">
        <v>1250</v>
      </c>
      <c r="H275" s="196"/>
      <c r="I275" s="312"/>
      <c r="J275" s="196"/>
      <c r="K275" s="500"/>
      <c r="L275" s="196" t="s">
        <v>1183</v>
      </c>
      <c r="M275" s="312" t="s">
        <v>1413</v>
      </c>
      <c r="N275" s="37"/>
      <c r="O275" s="37"/>
      <c r="P275" s="37"/>
      <c r="Q275" s="37"/>
      <c r="R275" s="37"/>
      <c r="S275" s="37"/>
      <c r="T275" s="37"/>
      <c r="U275" s="37"/>
      <c r="V275" s="37"/>
      <c r="W275" s="37"/>
      <c r="X275" s="37"/>
      <c r="Y275" s="37"/>
      <c r="Z275" s="37"/>
      <c r="AA275" s="37"/>
    </row>
    <row r="276" spans="1:27" ht="370.5" hidden="1" outlineLevel="1">
      <c r="A276" s="390">
        <v>4</v>
      </c>
      <c r="B276" s="121" t="s">
        <v>917</v>
      </c>
      <c r="C276" s="121" t="s">
        <v>918</v>
      </c>
      <c r="D276" s="121" t="s">
        <v>919</v>
      </c>
      <c r="E276" s="121" t="s">
        <v>920</v>
      </c>
      <c r="F276" s="82" t="s">
        <v>46</v>
      </c>
      <c r="G276" s="332" t="s">
        <v>1251</v>
      </c>
      <c r="H276" s="241"/>
      <c r="I276" s="313"/>
      <c r="J276" s="241"/>
      <c r="K276" s="507"/>
      <c r="L276" s="196" t="s">
        <v>1183</v>
      </c>
      <c r="M276" s="313" t="s">
        <v>1414</v>
      </c>
      <c r="N276" s="37"/>
      <c r="O276" s="37"/>
      <c r="P276" s="37"/>
      <c r="Q276" s="37"/>
      <c r="R276" s="37"/>
      <c r="S276" s="37"/>
      <c r="T276" s="37"/>
      <c r="U276" s="37"/>
      <c r="V276" s="37"/>
      <c r="W276" s="37"/>
      <c r="X276" s="37"/>
      <c r="Y276" s="37"/>
      <c r="Z276" s="37"/>
      <c r="AA276" s="37"/>
    </row>
    <row r="277" spans="1:27" ht="15" hidden="1" customHeight="1">
      <c r="A277" s="394" t="s">
        <v>921</v>
      </c>
      <c r="B277" s="182"/>
      <c r="C277" s="182"/>
      <c r="D277" s="182"/>
      <c r="E277" s="182"/>
      <c r="F277" s="175"/>
      <c r="G277" s="253"/>
      <c r="H277" s="309"/>
      <c r="I277" s="243"/>
      <c r="J277" s="283"/>
      <c r="K277" s="505"/>
      <c r="L277" s="252"/>
      <c r="M277" s="450"/>
      <c r="N277" s="37"/>
      <c r="O277" s="37"/>
      <c r="P277" s="37"/>
      <c r="Q277" s="37"/>
      <c r="R277" s="37"/>
      <c r="S277" s="37"/>
      <c r="T277" s="37"/>
      <c r="U277" s="37"/>
      <c r="V277" s="37"/>
      <c r="W277" s="37"/>
      <c r="X277" s="37"/>
      <c r="Y277" s="37"/>
      <c r="Z277" s="37"/>
      <c r="AA277" s="37"/>
    </row>
    <row r="278" spans="1:27" ht="15" hidden="1" customHeight="1" collapsed="1">
      <c r="A278" s="355" t="s">
        <v>922</v>
      </c>
      <c r="B278" s="183"/>
      <c r="C278" s="183"/>
      <c r="D278" s="183"/>
      <c r="E278" s="183"/>
      <c r="F278" s="174"/>
      <c r="G278" s="255"/>
      <c r="H278" s="310"/>
      <c r="I278" s="245"/>
      <c r="J278" s="284"/>
      <c r="K278" s="506"/>
      <c r="L278" s="254"/>
      <c r="M278" s="451"/>
      <c r="N278" s="37"/>
      <c r="O278" s="37"/>
      <c r="P278" s="37"/>
      <c r="Q278" s="37"/>
      <c r="R278" s="37"/>
      <c r="S278" s="37"/>
      <c r="T278" s="37"/>
      <c r="U278" s="37"/>
      <c r="V278" s="37"/>
      <c r="W278" s="37"/>
      <c r="X278" s="37"/>
      <c r="Y278" s="37"/>
      <c r="Z278" s="37"/>
      <c r="AA278" s="37"/>
    </row>
    <row r="279" spans="1:27" ht="99.75" hidden="1" outlineLevel="1">
      <c r="A279" s="395">
        <v>1</v>
      </c>
      <c r="B279" s="130" t="s">
        <v>923</v>
      </c>
      <c r="C279" s="130" t="s">
        <v>924</v>
      </c>
      <c r="D279" s="130" t="s">
        <v>925</v>
      </c>
      <c r="E279" s="130" t="s">
        <v>926</v>
      </c>
      <c r="F279" s="169" t="s">
        <v>1175</v>
      </c>
      <c r="G279" s="396" t="s">
        <v>1252</v>
      </c>
      <c r="H279" s="196"/>
      <c r="I279" s="172"/>
      <c r="J279" s="196"/>
      <c r="K279" s="500"/>
      <c r="L279" s="196" t="s">
        <v>1183</v>
      </c>
      <c r="M279" s="470" t="s">
        <v>1343</v>
      </c>
      <c r="N279" s="37"/>
      <c r="O279" s="37"/>
      <c r="P279" s="37"/>
      <c r="Q279" s="37"/>
      <c r="R279" s="37"/>
      <c r="S279" s="37"/>
      <c r="T279" s="37"/>
      <c r="U279" s="37"/>
      <c r="V279" s="37"/>
      <c r="W279" s="37"/>
      <c r="X279" s="37"/>
      <c r="Y279" s="37"/>
      <c r="Z279" s="37"/>
      <c r="AA279" s="37"/>
    </row>
    <row r="280" spans="1:27" ht="185.25" hidden="1" outlineLevel="1">
      <c r="A280" s="397">
        <v>2</v>
      </c>
      <c r="B280" s="57" t="s">
        <v>927</v>
      </c>
      <c r="C280" s="57" t="s">
        <v>928</v>
      </c>
      <c r="D280" s="57" t="s">
        <v>929</v>
      </c>
      <c r="E280" s="57" t="s">
        <v>930</v>
      </c>
      <c r="F280" s="161" t="s">
        <v>1176</v>
      </c>
      <c r="G280" s="398" t="s">
        <v>1253</v>
      </c>
      <c r="H280" s="196"/>
      <c r="I280" s="172"/>
      <c r="J280" s="196"/>
      <c r="K280" s="500"/>
      <c r="L280" s="196" t="s">
        <v>1183</v>
      </c>
      <c r="M280" s="470" t="s">
        <v>1344</v>
      </c>
      <c r="N280" s="37"/>
      <c r="O280" s="37"/>
      <c r="P280" s="37"/>
      <c r="Q280" s="37"/>
      <c r="R280" s="37"/>
      <c r="S280" s="37"/>
      <c r="T280" s="37"/>
      <c r="U280" s="37"/>
      <c r="V280" s="37"/>
      <c r="W280" s="37"/>
      <c r="X280" s="37"/>
      <c r="Y280" s="37"/>
      <c r="Z280" s="37"/>
      <c r="AA280" s="37"/>
    </row>
    <row r="281" spans="1:27" ht="128.25" hidden="1" outlineLevel="1">
      <c r="A281" s="397">
        <v>3</v>
      </c>
      <c r="B281" s="57" t="s">
        <v>931</v>
      </c>
      <c r="C281" s="57" t="s">
        <v>932</v>
      </c>
      <c r="D281" s="57" t="s">
        <v>933</v>
      </c>
      <c r="E281" s="57" t="s">
        <v>934</v>
      </c>
      <c r="F281" s="161" t="s">
        <v>1176</v>
      </c>
      <c r="G281" s="398" t="s">
        <v>1254</v>
      </c>
      <c r="H281" s="196"/>
      <c r="I281" s="172"/>
      <c r="J281" s="196"/>
      <c r="K281" s="500"/>
      <c r="L281" s="196" t="s">
        <v>1183</v>
      </c>
      <c r="M281" s="470" t="s">
        <v>1343</v>
      </c>
      <c r="N281" s="37"/>
      <c r="O281" s="37"/>
      <c r="P281" s="37"/>
      <c r="Q281" s="37"/>
      <c r="R281" s="37"/>
      <c r="S281" s="37"/>
      <c r="T281" s="37"/>
      <c r="U281" s="37"/>
      <c r="V281" s="37"/>
      <c r="W281" s="37"/>
      <c r="X281" s="37"/>
      <c r="Y281" s="37"/>
      <c r="Z281" s="37"/>
      <c r="AA281" s="37"/>
    </row>
    <row r="282" spans="1:27" ht="99.75" hidden="1" outlineLevel="1">
      <c r="A282" s="397">
        <v>4</v>
      </c>
      <c r="B282" s="57" t="s">
        <v>923</v>
      </c>
      <c r="C282" s="57" t="s">
        <v>935</v>
      </c>
      <c r="D282" s="57" t="s">
        <v>936</v>
      </c>
      <c r="E282" s="57" t="s">
        <v>937</v>
      </c>
      <c r="F282" s="161" t="s">
        <v>1176</v>
      </c>
      <c r="G282" s="398" t="s">
        <v>1255</v>
      </c>
      <c r="H282" s="196"/>
      <c r="I282" s="172"/>
      <c r="J282" s="196"/>
      <c r="K282" s="500"/>
      <c r="L282" s="196" t="s">
        <v>1183</v>
      </c>
      <c r="M282" s="470" t="s">
        <v>1343</v>
      </c>
      <c r="N282" s="37"/>
      <c r="O282" s="37"/>
      <c r="P282" s="37"/>
      <c r="Q282" s="37"/>
      <c r="R282" s="37"/>
      <c r="S282" s="37"/>
      <c r="T282" s="37"/>
      <c r="U282" s="37"/>
      <c r="V282" s="37"/>
      <c r="W282" s="37"/>
      <c r="X282" s="37"/>
      <c r="Y282" s="37"/>
      <c r="Z282" s="37"/>
      <c r="AA282" s="37"/>
    </row>
    <row r="283" spans="1:27" ht="171" hidden="1" outlineLevel="1">
      <c r="A283" s="397">
        <v>5</v>
      </c>
      <c r="B283" s="57" t="s">
        <v>938</v>
      </c>
      <c r="C283" s="57" t="s">
        <v>939</v>
      </c>
      <c r="D283" s="57" t="s">
        <v>940</v>
      </c>
      <c r="E283" s="57" t="s">
        <v>941</v>
      </c>
      <c r="F283" s="161" t="s">
        <v>1176</v>
      </c>
      <c r="G283" s="398" t="s">
        <v>1256</v>
      </c>
      <c r="H283" s="196"/>
      <c r="I283" s="172"/>
      <c r="J283" s="196"/>
      <c r="K283" s="500"/>
      <c r="L283" s="196" t="s">
        <v>1183</v>
      </c>
      <c r="M283" s="470" t="s">
        <v>1343</v>
      </c>
      <c r="N283" s="37"/>
      <c r="O283" s="37"/>
      <c r="P283" s="37"/>
      <c r="Q283" s="37"/>
      <c r="R283" s="37"/>
      <c r="S283" s="37"/>
      <c r="T283" s="37"/>
      <c r="U283" s="37"/>
      <c r="V283" s="37"/>
      <c r="W283" s="37"/>
      <c r="X283" s="37"/>
      <c r="Y283" s="37"/>
      <c r="Z283" s="37"/>
      <c r="AA283" s="37"/>
    </row>
    <row r="284" spans="1:27" ht="156.75" hidden="1" outlineLevel="1">
      <c r="A284" s="397">
        <v>6</v>
      </c>
      <c r="B284" s="57" t="s">
        <v>942</v>
      </c>
      <c r="C284" s="57" t="s">
        <v>943</v>
      </c>
      <c r="D284" s="57" t="s">
        <v>944</v>
      </c>
      <c r="E284" s="57" t="s">
        <v>945</v>
      </c>
      <c r="F284" s="161" t="s">
        <v>1176</v>
      </c>
      <c r="G284" s="398" t="s">
        <v>1257</v>
      </c>
      <c r="H284" s="196"/>
      <c r="I284" s="172"/>
      <c r="J284" s="196"/>
      <c r="K284" s="500"/>
      <c r="L284" s="196" t="s">
        <v>1183</v>
      </c>
      <c r="M284" s="470" t="s">
        <v>1343</v>
      </c>
      <c r="N284" s="37"/>
      <c r="O284" s="37"/>
      <c r="P284" s="37"/>
      <c r="Q284" s="37"/>
      <c r="R284" s="37"/>
      <c r="S284" s="37"/>
      <c r="T284" s="37"/>
      <c r="U284" s="37"/>
      <c r="V284" s="37"/>
      <c r="W284" s="37"/>
      <c r="X284" s="37"/>
      <c r="Y284" s="37"/>
      <c r="Z284" s="37"/>
      <c r="AA284" s="37"/>
    </row>
    <row r="285" spans="1:27" ht="185.25" hidden="1" outlineLevel="1">
      <c r="A285" s="397">
        <v>7</v>
      </c>
      <c r="B285" s="57" t="s">
        <v>946</v>
      </c>
      <c r="C285" s="57" t="s">
        <v>947</v>
      </c>
      <c r="D285" s="57" t="s">
        <v>948</v>
      </c>
      <c r="E285" s="57" t="s">
        <v>949</v>
      </c>
      <c r="F285" s="161" t="s">
        <v>1176</v>
      </c>
      <c r="G285" s="399" t="s">
        <v>1258</v>
      </c>
      <c r="H285" s="196"/>
      <c r="I285" s="172"/>
      <c r="J285" s="196"/>
      <c r="K285" s="500"/>
      <c r="L285" s="196" t="s">
        <v>1183</v>
      </c>
      <c r="M285" s="470" t="s">
        <v>1345</v>
      </c>
      <c r="N285" s="37"/>
      <c r="O285" s="37"/>
      <c r="P285" s="37"/>
      <c r="Q285" s="37"/>
      <c r="R285" s="37"/>
      <c r="S285" s="37"/>
      <c r="T285" s="37"/>
      <c r="U285" s="37"/>
      <c r="V285" s="37"/>
      <c r="W285" s="37"/>
      <c r="X285" s="37"/>
      <c r="Y285" s="37"/>
      <c r="Z285" s="37"/>
      <c r="AA285" s="37"/>
    </row>
    <row r="286" spans="1:27" ht="99.75" hidden="1" outlineLevel="1">
      <c r="A286" s="400">
        <v>8</v>
      </c>
      <c r="B286" s="58" t="s">
        <v>950</v>
      </c>
      <c r="C286" s="58" t="s">
        <v>951</v>
      </c>
      <c r="D286" s="58" t="s">
        <v>952</v>
      </c>
      <c r="E286" s="58" t="s">
        <v>953</v>
      </c>
      <c r="F286" s="165" t="s">
        <v>56</v>
      </c>
      <c r="G286" s="401" t="s">
        <v>1259</v>
      </c>
      <c r="H286" s="196"/>
      <c r="I286" s="172"/>
      <c r="J286" s="196"/>
      <c r="K286" s="500"/>
      <c r="L286" s="196" t="s">
        <v>1183</v>
      </c>
      <c r="M286" s="470" t="s">
        <v>1343</v>
      </c>
      <c r="N286" s="37"/>
      <c r="O286" s="37"/>
      <c r="P286" s="37"/>
      <c r="Q286" s="37"/>
      <c r="R286" s="37"/>
      <c r="S286" s="37"/>
      <c r="T286" s="37"/>
      <c r="U286" s="37"/>
      <c r="V286" s="37"/>
      <c r="W286" s="37"/>
      <c r="X286" s="37"/>
      <c r="Y286" s="37"/>
      <c r="Z286" s="37"/>
      <c r="AA286" s="37"/>
    </row>
    <row r="287" spans="1:27" ht="99.75" hidden="1" outlineLevel="1">
      <c r="A287" s="400">
        <v>9</v>
      </c>
      <c r="B287" s="58" t="s">
        <v>954</v>
      </c>
      <c r="C287" s="58" t="s">
        <v>955</v>
      </c>
      <c r="D287" s="58" t="s">
        <v>956</v>
      </c>
      <c r="E287" s="58" t="s">
        <v>957</v>
      </c>
      <c r="F287" s="165" t="s">
        <v>56</v>
      </c>
      <c r="G287" s="401" t="s">
        <v>1260</v>
      </c>
      <c r="H287" s="196"/>
      <c r="I287" s="172"/>
      <c r="J287" s="196"/>
      <c r="K287" s="500"/>
      <c r="L287" s="196" t="s">
        <v>1183</v>
      </c>
      <c r="M287" s="470" t="s">
        <v>1346</v>
      </c>
      <c r="N287" s="37"/>
      <c r="O287" s="37"/>
      <c r="P287" s="37"/>
      <c r="Q287" s="37"/>
      <c r="R287" s="37"/>
      <c r="S287" s="37"/>
      <c r="T287" s="37"/>
      <c r="U287" s="37"/>
      <c r="V287" s="37"/>
      <c r="W287" s="37"/>
      <c r="X287" s="37"/>
      <c r="Y287" s="37"/>
      <c r="Z287" s="37"/>
      <c r="AA287" s="37"/>
    </row>
    <row r="288" spans="1:27" ht="128.25" hidden="1" outlineLevel="1">
      <c r="A288" s="402">
        <v>10</v>
      </c>
      <c r="B288" s="127" t="s">
        <v>958</v>
      </c>
      <c r="C288" s="127" t="s">
        <v>959</v>
      </c>
      <c r="D288" s="127" t="s">
        <v>960</v>
      </c>
      <c r="E288" s="127" t="s">
        <v>961</v>
      </c>
      <c r="F288" s="165" t="s">
        <v>56</v>
      </c>
      <c r="G288" s="401" t="s">
        <v>1255</v>
      </c>
      <c r="H288" s="196"/>
      <c r="I288" s="172"/>
      <c r="J288" s="196"/>
      <c r="K288" s="500"/>
      <c r="L288" s="196" t="s">
        <v>1183</v>
      </c>
      <c r="M288" s="470" t="s">
        <v>1343</v>
      </c>
      <c r="N288" s="37"/>
      <c r="O288" s="37"/>
      <c r="P288" s="37"/>
      <c r="Q288" s="37"/>
      <c r="R288" s="37"/>
      <c r="S288" s="37"/>
      <c r="T288" s="37"/>
      <c r="U288" s="37"/>
      <c r="V288" s="37"/>
      <c r="W288" s="37"/>
      <c r="X288" s="37"/>
      <c r="Y288" s="37"/>
      <c r="Z288" s="37"/>
      <c r="AA288" s="37"/>
    </row>
    <row r="289" spans="1:27" ht="15" hidden="1" customHeight="1" collapsed="1">
      <c r="A289" s="355" t="s">
        <v>962</v>
      </c>
      <c r="B289" s="180"/>
      <c r="C289" s="180"/>
      <c r="D289" s="180"/>
      <c r="E289" s="180"/>
      <c r="F289" s="174"/>
      <c r="G289" s="255"/>
      <c r="H289" s="304"/>
      <c r="I289" s="240"/>
      <c r="J289" s="276"/>
      <c r="K289" s="501"/>
      <c r="L289" s="248"/>
      <c r="M289" s="440"/>
      <c r="N289" s="37"/>
      <c r="O289" s="37"/>
      <c r="P289" s="37"/>
      <c r="Q289" s="37"/>
      <c r="R289" s="37"/>
      <c r="S289" s="37"/>
      <c r="T289" s="37"/>
      <c r="U289" s="37"/>
      <c r="V289" s="37"/>
      <c r="W289" s="37"/>
      <c r="X289" s="37"/>
      <c r="Y289" s="37"/>
      <c r="Z289" s="37"/>
      <c r="AA289" s="37"/>
    </row>
    <row r="290" spans="1:27" ht="313.5" hidden="1" outlineLevel="1">
      <c r="A290" s="403">
        <v>1</v>
      </c>
      <c r="B290" s="131" t="s">
        <v>963</v>
      </c>
      <c r="C290" s="132" t="s">
        <v>964</v>
      </c>
      <c r="D290" s="132" t="s">
        <v>965</v>
      </c>
      <c r="E290" s="132" t="s">
        <v>966</v>
      </c>
      <c r="F290" s="162" t="s">
        <v>1175</v>
      </c>
      <c r="G290" s="404" t="s">
        <v>1261</v>
      </c>
      <c r="H290" s="196" t="s">
        <v>1178</v>
      </c>
      <c r="I290" s="275" t="s">
        <v>1347</v>
      </c>
      <c r="J290" s="196" t="s">
        <v>1182</v>
      </c>
      <c r="K290" s="500" t="s">
        <v>1314</v>
      </c>
      <c r="L290" s="196" t="s">
        <v>1182</v>
      </c>
      <c r="M290" s="197" t="s">
        <v>1437</v>
      </c>
      <c r="N290" s="37"/>
      <c r="O290" s="37"/>
      <c r="P290" s="37"/>
      <c r="Q290" s="37"/>
      <c r="R290" s="37"/>
      <c r="S290" s="37"/>
      <c r="T290" s="37"/>
      <c r="U290" s="37"/>
      <c r="V290" s="37"/>
      <c r="W290" s="37"/>
      <c r="X290" s="37"/>
      <c r="Y290" s="37"/>
      <c r="Z290" s="37"/>
      <c r="AA290" s="37"/>
    </row>
    <row r="291" spans="1:27" ht="256.5" hidden="1" outlineLevel="1">
      <c r="A291" s="405">
        <v>2</v>
      </c>
      <c r="B291" s="59" t="s">
        <v>967</v>
      </c>
      <c r="C291" s="60" t="s">
        <v>968</v>
      </c>
      <c r="D291" s="60" t="s">
        <v>969</v>
      </c>
      <c r="E291" s="60" t="s">
        <v>970</v>
      </c>
      <c r="F291" s="162" t="s">
        <v>1175</v>
      </c>
      <c r="G291" s="404" t="s">
        <v>1262</v>
      </c>
      <c r="H291" s="196" t="s">
        <v>1178</v>
      </c>
      <c r="I291" s="275" t="s">
        <v>1347</v>
      </c>
      <c r="J291" s="196" t="s">
        <v>1182</v>
      </c>
      <c r="K291" s="500" t="s">
        <v>1314</v>
      </c>
      <c r="L291" s="196" t="s">
        <v>1182</v>
      </c>
      <c r="M291" s="197" t="s">
        <v>1438</v>
      </c>
      <c r="N291" s="37"/>
      <c r="O291" s="37"/>
      <c r="P291" s="37"/>
      <c r="Q291" s="37"/>
      <c r="R291" s="37"/>
      <c r="S291" s="37"/>
      <c r="T291" s="37"/>
      <c r="U291" s="37"/>
      <c r="V291" s="37"/>
      <c r="W291" s="37"/>
      <c r="X291" s="37"/>
      <c r="Y291" s="37"/>
      <c r="Z291" s="37"/>
      <c r="AA291" s="37"/>
    </row>
    <row r="292" spans="1:27" ht="299.25" hidden="1" outlineLevel="1">
      <c r="A292" s="405">
        <v>3</v>
      </c>
      <c r="B292" s="59" t="s">
        <v>971</v>
      </c>
      <c r="C292" s="60" t="s">
        <v>972</v>
      </c>
      <c r="D292" s="60" t="s">
        <v>973</v>
      </c>
      <c r="E292" s="60" t="s">
        <v>974</v>
      </c>
      <c r="F292" s="162" t="s">
        <v>1175</v>
      </c>
      <c r="G292" s="404" t="s">
        <v>1263</v>
      </c>
      <c r="H292" s="196" t="s">
        <v>1178</v>
      </c>
      <c r="I292" s="275" t="s">
        <v>1347</v>
      </c>
      <c r="J292" s="196" t="s">
        <v>1182</v>
      </c>
      <c r="K292" s="500" t="s">
        <v>1314</v>
      </c>
      <c r="L292" s="196" t="s">
        <v>1182</v>
      </c>
      <c r="M292" s="218" t="s">
        <v>1338</v>
      </c>
      <c r="N292" s="37"/>
      <c r="O292" s="37"/>
      <c r="P292" s="37"/>
      <c r="Q292" s="37"/>
      <c r="R292" s="37"/>
      <c r="S292" s="37"/>
      <c r="T292" s="37"/>
      <c r="U292" s="37"/>
      <c r="V292" s="37"/>
      <c r="W292" s="37"/>
      <c r="X292" s="37"/>
      <c r="Y292" s="37"/>
      <c r="Z292" s="37"/>
      <c r="AA292" s="37"/>
    </row>
    <row r="293" spans="1:27" ht="228" hidden="1" outlineLevel="1">
      <c r="A293" s="406">
        <v>4</v>
      </c>
      <c r="B293" s="61" t="s">
        <v>975</v>
      </c>
      <c r="C293" s="62" t="s">
        <v>976</v>
      </c>
      <c r="D293" s="62" t="s">
        <v>977</v>
      </c>
      <c r="E293" s="62" t="s">
        <v>978</v>
      </c>
      <c r="F293" s="163" t="s">
        <v>46</v>
      </c>
      <c r="G293" s="407" t="s">
        <v>1264</v>
      </c>
      <c r="H293" s="196" t="s">
        <v>1178</v>
      </c>
      <c r="I293" s="275" t="s">
        <v>1347</v>
      </c>
      <c r="J293" s="196" t="s">
        <v>1182</v>
      </c>
      <c r="K293" s="500" t="s">
        <v>1314</v>
      </c>
      <c r="L293" s="196" t="s">
        <v>1182</v>
      </c>
      <c r="M293" s="218" t="s">
        <v>1439</v>
      </c>
      <c r="N293" s="37"/>
      <c r="O293" s="37"/>
      <c r="P293" s="37"/>
      <c r="Q293" s="37"/>
      <c r="R293" s="37"/>
      <c r="S293" s="37"/>
      <c r="T293" s="37"/>
      <c r="U293" s="37"/>
      <c r="V293" s="37"/>
      <c r="W293" s="37"/>
      <c r="X293" s="37"/>
      <c r="Y293" s="37"/>
      <c r="Z293" s="37"/>
      <c r="AA293" s="37"/>
    </row>
    <row r="294" spans="1:27" ht="228" hidden="1" outlineLevel="1">
      <c r="A294" s="406">
        <v>5</v>
      </c>
      <c r="B294" s="61" t="s">
        <v>979</v>
      </c>
      <c r="C294" s="62" t="s">
        <v>980</v>
      </c>
      <c r="D294" s="62" t="s">
        <v>981</v>
      </c>
      <c r="E294" s="62" t="s">
        <v>982</v>
      </c>
      <c r="F294" s="163" t="s">
        <v>46</v>
      </c>
      <c r="G294" s="407" t="s">
        <v>1265</v>
      </c>
      <c r="H294" s="196"/>
      <c r="I294" s="172"/>
      <c r="J294" s="196"/>
      <c r="K294" s="500"/>
      <c r="L294" s="196" t="s">
        <v>1178</v>
      </c>
      <c r="M294" s="470" t="s">
        <v>1348</v>
      </c>
      <c r="N294" s="37"/>
      <c r="O294" s="37"/>
      <c r="P294" s="37"/>
      <c r="Q294" s="37"/>
      <c r="R294" s="37"/>
      <c r="S294" s="37"/>
      <c r="T294" s="37"/>
      <c r="U294" s="37"/>
      <c r="V294" s="37"/>
      <c r="W294" s="37"/>
      <c r="X294" s="37"/>
      <c r="Y294" s="37"/>
      <c r="Z294" s="37"/>
      <c r="AA294" s="37"/>
    </row>
    <row r="295" spans="1:27" ht="242.25" hidden="1" outlineLevel="1">
      <c r="A295" s="408">
        <v>6</v>
      </c>
      <c r="B295" s="63" t="s">
        <v>983</v>
      </c>
      <c r="C295" s="64" t="s">
        <v>984</v>
      </c>
      <c r="D295" s="64" t="s">
        <v>985</v>
      </c>
      <c r="E295" s="64" t="s">
        <v>986</v>
      </c>
      <c r="F295" s="164" t="s">
        <v>1176</v>
      </c>
      <c r="G295" s="409" t="s">
        <v>1266</v>
      </c>
      <c r="H295" s="196"/>
      <c r="I295" s="172"/>
      <c r="J295" s="196"/>
      <c r="K295" s="500"/>
      <c r="L295" s="196" t="s">
        <v>1183</v>
      </c>
      <c r="M295" s="275" t="s">
        <v>1315</v>
      </c>
      <c r="N295" s="37"/>
      <c r="O295" s="37"/>
      <c r="P295" s="37"/>
      <c r="Q295" s="37"/>
      <c r="R295" s="37"/>
      <c r="S295" s="37"/>
      <c r="T295" s="37"/>
      <c r="U295" s="37"/>
      <c r="V295" s="37"/>
      <c r="W295" s="37"/>
      <c r="X295" s="37"/>
      <c r="Y295" s="37"/>
      <c r="Z295" s="37"/>
      <c r="AA295" s="37"/>
    </row>
    <row r="296" spans="1:27" ht="342" hidden="1" outlineLevel="1">
      <c r="A296" s="408">
        <v>7</v>
      </c>
      <c r="B296" s="63" t="s">
        <v>987</v>
      </c>
      <c r="C296" s="64" t="s">
        <v>988</v>
      </c>
      <c r="D296" s="64" t="s">
        <v>989</v>
      </c>
      <c r="E296" s="64" t="s">
        <v>990</v>
      </c>
      <c r="F296" s="164" t="s">
        <v>1176</v>
      </c>
      <c r="G296" s="409" t="s">
        <v>1267</v>
      </c>
      <c r="H296" s="196"/>
      <c r="I296" s="172"/>
      <c r="J296" s="196"/>
      <c r="K296" s="500"/>
      <c r="L296" s="196" t="s">
        <v>1178</v>
      </c>
      <c r="M296" s="275" t="s">
        <v>1415</v>
      </c>
      <c r="N296" s="37"/>
      <c r="O296" s="37"/>
      <c r="P296" s="37"/>
      <c r="Q296" s="37"/>
      <c r="R296" s="37"/>
      <c r="S296" s="37"/>
      <c r="T296" s="37"/>
      <c r="U296" s="37"/>
      <c r="V296" s="37"/>
      <c r="W296" s="37"/>
      <c r="X296" s="37"/>
      <c r="Y296" s="37"/>
      <c r="Z296" s="37"/>
      <c r="AA296" s="37"/>
    </row>
    <row r="297" spans="1:27" ht="409.5" hidden="1" outlineLevel="1">
      <c r="A297" s="408">
        <v>8</v>
      </c>
      <c r="B297" s="63" t="s">
        <v>991</v>
      </c>
      <c r="C297" s="64" t="s">
        <v>992</v>
      </c>
      <c r="D297" s="64" t="s">
        <v>993</v>
      </c>
      <c r="E297" s="64" t="s">
        <v>994</v>
      </c>
      <c r="F297" s="164" t="s">
        <v>1176</v>
      </c>
      <c r="G297" s="409" t="s">
        <v>1268</v>
      </c>
      <c r="H297" s="196"/>
      <c r="I297" s="172"/>
      <c r="J297" s="196"/>
      <c r="K297" s="500"/>
      <c r="L297" s="196" t="s">
        <v>1183</v>
      </c>
      <c r="M297" s="275" t="s">
        <v>1316</v>
      </c>
      <c r="N297" s="37"/>
      <c r="O297" s="37"/>
      <c r="P297" s="37"/>
      <c r="Q297" s="37"/>
      <c r="R297" s="37"/>
      <c r="S297" s="37"/>
      <c r="T297" s="37"/>
      <c r="U297" s="37"/>
      <c r="V297" s="37"/>
      <c r="W297" s="37"/>
      <c r="X297" s="37"/>
      <c r="Y297" s="37"/>
      <c r="Z297" s="37"/>
      <c r="AA297" s="37"/>
    </row>
    <row r="298" spans="1:27" ht="185.25" hidden="1" outlineLevel="1">
      <c r="A298" s="408">
        <v>9</v>
      </c>
      <c r="B298" s="63" t="s">
        <v>995</v>
      </c>
      <c r="C298" s="64" t="s">
        <v>996</v>
      </c>
      <c r="D298" s="64" t="s">
        <v>997</v>
      </c>
      <c r="E298" s="64" t="s">
        <v>998</v>
      </c>
      <c r="F298" s="164" t="s">
        <v>1176</v>
      </c>
      <c r="G298" s="409" t="s">
        <v>1269</v>
      </c>
      <c r="H298" s="196"/>
      <c r="I298" s="172"/>
      <c r="J298" s="196"/>
      <c r="K298" s="500"/>
      <c r="L298" s="196" t="s">
        <v>1178</v>
      </c>
      <c r="M298" s="275" t="s">
        <v>1317</v>
      </c>
      <c r="N298" s="37"/>
      <c r="O298" s="37"/>
      <c r="P298" s="37"/>
      <c r="Q298" s="37"/>
      <c r="R298" s="37"/>
      <c r="S298" s="37"/>
      <c r="T298" s="37"/>
      <c r="U298" s="37"/>
      <c r="V298" s="37"/>
      <c r="W298" s="37"/>
      <c r="X298" s="37"/>
      <c r="Y298" s="37"/>
      <c r="Z298" s="37"/>
      <c r="AA298" s="37"/>
    </row>
    <row r="299" spans="1:27" ht="256.5" hidden="1" outlineLevel="1">
      <c r="A299" s="408">
        <v>10</v>
      </c>
      <c r="B299" s="63" t="s">
        <v>999</v>
      </c>
      <c r="C299" s="64" t="s">
        <v>1000</v>
      </c>
      <c r="D299" s="64" t="s">
        <v>1001</v>
      </c>
      <c r="E299" s="64" t="s">
        <v>1002</v>
      </c>
      <c r="F299" s="164" t="s">
        <v>1176</v>
      </c>
      <c r="G299" s="409" t="s">
        <v>1270</v>
      </c>
      <c r="H299" s="196" t="s">
        <v>1178</v>
      </c>
      <c r="I299" s="172" t="s">
        <v>1349</v>
      </c>
      <c r="J299" s="196" t="s">
        <v>1182</v>
      </c>
      <c r="K299" s="500" t="s">
        <v>1314</v>
      </c>
      <c r="L299" s="196" t="s">
        <v>1182</v>
      </c>
      <c r="M299" s="218" t="s">
        <v>1436</v>
      </c>
      <c r="N299" s="37"/>
      <c r="O299" s="37"/>
      <c r="P299" s="37"/>
      <c r="Q299" s="37"/>
      <c r="R299" s="37"/>
      <c r="S299" s="37"/>
      <c r="T299" s="37"/>
      <c r="U299" s="37"/>
      <c r="V299" s="37"/>
      <c r="W299" s="37"/>
      <c r="X299" s="37"/>
      <c r="Y299" s="37"/>
      <c r="Z299" s="37"/>
      <c r="AA299" s="37"/>
    </row>
    <row r="300" spans="1:27" ht="171" hidden="1" outlineLevel="1">
      <c r="A300" s="410">
        <v>11</v>
      </c>
      <c r="B300" s="65" t="s">
        <v>1003</v>
      </c>
      <c r="C300" s="66" t="s">
        <v>1004</v>
      </c>
      <c r="D300" s="66" t="s">
        <v>1005</v>
      </c>
      <c r="E300" s="66" t="s">
        <v>1006</v>
      </c>
      <c r="F300" s="151" t="s">
        <v>56</v>
      </c>
      <c r="G300" s="411" t="s">
        <v>1271</v>
      </c>
      <c r="H300" s="196"/>
      <c r="I300" s="172"/>
      <c r="J300" s="196"/>
      <c r="K300" s="500"/>
      <c r="L300" s="196" t="s">
        <v>1183</v>
      </c>
      <c r="M300" s="275" t="s">
        <v>1318</v>
      </c>
      <c r="N300" s="37"/>
      <c r="O300" s="37"/>
      <c r="P300" s="37"/>
      <c r="Q300" s="37"/>
      <c r="R300" s="37"/>
      <c r="S300" s="37"/>
      <c r="T300" s="37"/>
      <c r="U300" s="37"/>
      <c r="V300" s="37"/>
      <c r="W300" s="37"/>
      <c r="X300" s="37"/>
      <c r="Y300" s="37"/>
      <c r="Z300" s="37"/>
      <c r="AA300" s="37"/>
    </row>
    <row r="301" spans="1:27" ht="114" hidden="1" outlineLevel="1">
      <c r="A301" s="410">
        <v>12</v>
      </c>
      <c r="B301" s="65" t="s">
        <v>1007</v>
      </c>
      <c r="C301" s="66" t="s">
        <v>1008</v>
      </c>
      <c r="D301" s="66" t="s">
        <v>1009</v>
      </c>
      <c r="E301" s="66" t="s">
        <v>1010</v>
      </c>
      <c r="F301" s="151" t="s">
        <v>56</v>
      </c>
      <c r="G301" s="411" t="s">
        <v>1272</v>
      </c>
      <c r="H301" s="196"/>
      <c r="I301" s="172"/>
      <c r="J301" s="196"/>
      <c r="K301" s="500"/>
      <c r="L301" s="196" t="s">
        <v>1183</v>
      </c>
      <c r="M301" s="470" t="s">
        <v>1350</v>
      </c>
      <c r="N301" s="37"/>
      <c r="O301" s="37"/>
      <c r="P301" s="37"/>
      <c r="Q301" s="37"/>
      <c r="R301" s="37"/>
      <c r="S301" s="37"/>
      <c r="T301" s="37"/>
      <c r="U301" s="37"/>
      <c r="V301" s="37"/>
      <c r="W301" s="37"/>
      <c r="X301" s="37"/>
      <c r="Y301" s="37"/>
      <c r="Z301" s="37"/>
      <c r="AA301" s="37"/>
    </row>
    <row r="302" spans="1:27" ht="171" hidden="1" outlineLevel="1">
      <c r="A302" s="410">
        <v>13</v>
      </c>
      <c r="B302" s="65" t="s">
        <v>1011</v>
      </c>
      <c r="C302" s="66" t="s">
        <v>1012</v>
      </c>
      <c r="D302" s="66" t="s">
        <v>1013</v>
      </c>
      <c r="E302" s="66" t="s">
        <v>1014</v>
      </c>
      <c r="F302" s="151" t="s">
        <v>56</v>
      </c>
      <c r="G302" s="411" t="s">
        <v>1273</v>
      </c>
      <c r="H302" s="196"/>
      <c r="I302" s="172"/>
      <c r="J302" s="196"/>
      <c r="K302" s="500"/>
      <c r="L302" s="196" t="s">
        <v>1178</v>
      </c>
      <c r="M302" s="275" t="s">
        <v>1416</v>
      </c>
      <c r="N302" s="37"/>
      <c r="O302" s="37"/>
      <c r="P302" s="37"/>
      <c r="Q302" s="37"/>
      <c r="R302" s="37"/>
      <c r="S302" s="37"/>
      <c r="T302" s="37"/>
      <c r="U302" s="37"/>
      <c r="V302" s="37"/>
      <c r="W302" s="37"/>
      <c r="X302" s="37"/>
      <c r="Y302" s="37"/>
      <c r="Z302" s="37"/>
      <c r="AA302" s="37"/>
    </row>
    <row r="303" spans="1:27" ht="128.25" hidden="1" outlineLevel="1">
      <c r="A303" s="410">
        <v>14</v>
      </c>
      <c r="B303" s="65" t="s">
        <v>1015</v>
      </c>
      <c r="C303" s="66" t="s">
        <v>1016</v>
      </c>
      <c r="D303" s="66" t="s">
        <v>1017</v>
      </c>
      <c r="E303" s="66" t="s">
        <v>1018</v>
      </c>
      <c r="F303" s="151" t="s">
        <v>56</v>
      </c>
      <c r="G303" s="411" t="s">
        <v>1274</v>
      </c>
      <c r="H303" s="196"/>
      <c r="I303" s="172"/>
      <c r="J303" s="196"/>
      <c r="K303" s="500"/>
      <c r="L303" s="196" t="s">
        <v>1183</v>
      </c>
      <c r="M303" s="470" t="s">
        <v>1351</v>
      </c>
      <c r="N303" s="37"/>
      <c r="O303" s="37"/>
      <c r="P303" s="37"/>
      <c r="Q303" s="37"/>
      <c r="R303" s="37"/>
      <c r="S303" s="37"/>
      <c r="T303" s="37"/>
      <c r="U303" s="37"/>
      <c r="V303" s="37"/>
      <c r="W303" s="37"/>
      <c r="X303" s="37"/>
      <c r="Y303" s="37"/>
      <c r="Z303" s="37"/>
      <c r="AA303" s="37"/>
    </row>
    <row r="304" spans="1:27" ht="156.75" hidden="1" outlineLevel="1">
      <c r="A304" s="410">
        <v>15</v>
      </c>
      <c r="B304" s="65" t="s">
        <v>1019</v>
      </c>
      <c r="C304" s="66" t="s">
        <v>1020</v>
      </c>
      <c r="D304" s="66" t="s">
        <v>1021</v>
      </c>
      <c r="E304" s="66" t="s">
        <v>1022</v>
      </c>
      <c r="F304" s="151" t="s">
        <v>56</v>
      </c>
      <c r="G304" s="411" t="s">
        <v>1275</v>
      </c>
      <c r="H304" s="196"/>
      <c r="I304" s="172"/>
      <c r="J304" s="196"/>
      <c r="K304" s="500"/>
      <c r="L304" s="196" t="s">
        <v>1183</v>
      </c>
      <c r="M304" s="470" t="s">
        <v>1343</v>
      </c>
      <c r="N304" s="37"/>
      <c r="O304" s="37"/>
      <c r="P304" s="37"/>
      <c r="Q304" s="37"/>
      <c r="R304" s="37"/>
      <c r="S304" s="37"/>
      <c r="T304" s="37"/>
      <c r="U304" s="37"/>
      <c r="V304" s="37"/>
      <c r="W304" s="37"/>
      <c r="X304" s="37"/>
      <c r="Y304" s="37"/>
      <c r="Z304" s="37"/>
      <c r="AA304" s="37"/>
    </row>
    <row r="305" spans="1:27" ht="185.25" hidden="1" outlineLevel="1">
      <c r="A305" s="412">
        <v>16</v>
      </c>
      <c r="B305" s="67" t="s">
        <v>1023</v>
      </c>
      <c r="C305" s="68" t="s">
        <v>1024</v>
      </c>
      <c r="D305" s="68" t="s">
        <v>1025</v>
      </c>
      <c r="E305" s="68" t="s">
        <v>1026</v>
      </c>
      <c r="F305" s="153" t="s">
        <v>1312</v>
      </c>
      <c r="G305" s="413" t="s">
        <v>1276</v>
      </c>
      <c r="H305" s="196"/>
      <c r="I305" s="172"/>
      <c r="J305" s="196"/>
      <c r="K305" s="500"/>
      <c r="L305" s="196" t="s">
        <v>1183</v>
      </c>
      <c r="M305" s="470" t="s">
        <v>1352</v>
      </c>
      <c r="N305" s="37"/>
      <c r="O305" s="37"/>
      <c r="P305" s="37"/>
      <c r="Q305" s="37"/>
      <c r="R305" s="37"/>
      <c r="S305" s="37"/>
      <c r="T305" s="37"/>
      <c r="U305" s="37"/>
      <c r="V305" s="37"/>
      <c r="W305" s="37"/>
      <c r="X305" s="37"/>
      <c r="Y305" s="37"/>
      <c r="Z305" s="37"/>
      <c r="AA305" s="37"/>
    </row>
    <row r="306" spans="1:27" ht="156.75" hidden="1" outlineLevel="1">
      <c r="A306" s="412">
        <v>17</v>
      </c>
      <c r="B306" s="67" t="s">
        <v>1027</v>
      </c>
      <c r="C306" s="68" t="s">
        <v>1028</v>
      </c>
      <c r="D306" s="68" t="s">
        <v>1029</v>
      </c>
      <c r="E306" s="68" t="s">
        <v>1030</v>
      </c>
      <c r="F306" s="153" t="s">
        <v>1312</v>
      </c>
      <c r="G306" s="413" t="s">
        <v>1277</v>
      </c>
      <c r="H306" s="196"/>
      <c r="I306" s="172"/>
      <c r="J306" s="196"/>
      <c r="K306" s="500"/>
      <c r="L306" s="196" t="s">
        <v>1182</v>
      </c>
      <c r="M306" s="427" t="s">
        <v>1314</v>
      </c>
      <c r="N306" s="37"/>
      <c r="O306" s="37"/>
      <c r="P306" s="37"/>
      <c r="Q306" s="37"/>
      <c r="R306" s="37"/>
      <c r="S306" s="37"/>
      <c r="T306" s="37"/>
      <c r="U306" s="37"/>
      <c r="V306" s="37"/>
      <c r="W306" s="37"/>
      <c r="X306" s="37"/>
      <c r="Y306" s="37"/>
      <c r="Z306" s="37"/>
      <c r="AA306" s="37"/>
    </row>
    <row r="307" spans="1:27" ht="156.75" hidden="1" outlineLevel="1">
      <c r="A307" s="414">
        <v>18</v>
      </c>
      <c r="B307" s="128" t="s">
        <v>1031</v>
      </c>
      <c r="C307" s="129" t="s">
        <v>1032</v>
      </c>
      <c r="D307" s="129" t="s">
        <v>1033</v>
      </c>
      <c r="E307" s="129" t="s">
        <v>1034</v>
      </c>
      <c r="F307" s="153" t="s">
        <v>1312</v>
      </c>
      <c r="G307" s="413" t="s">
        <v>1278</v>
      </c>
      <c r="H307" s="196"/>
      <c r="I307" s="172"/>
      <c r="J307" s="196"/>
      <c r="K307" s="500"/>
      <c r="L307" s="196" t="s">
        <v>1183</v>
      </c>
      <c r="M307" s="470" t="s">
        <v>1353</v>
      </c>
      <c r="N307" s="37"/>
      <c r="O307" s="37"/>
      <c r="P307" s="37"/>
      <c r="Q307" s="37"/>
      <c r="R307" s="37"/>
      <c r="S307" s="37"/>
      <c r="T307" s="37"/>
      <c r="U307" s="37"/>
      <c r="V307" s="37"/>
      <c r="W307" s="37"/>
      <c r="X307" s="37"/>
      <c r="Y307" s="37"/>
      <c r="Z307" s="37"/>
      <c r="AA307" s="37"/>
    </row>
    <row r="308" spans="1:27" ht="15" hidden="1" customHeight="1" collapsed="1">
      <c r="A308" s="355" t="s">
        <v>1035</v>
      </c>
      <c r="B308" s="180"/>
      <c r="C308" s="180"/>
      <c r="D308" s="180"/>
      <c r="E308" s="180"/>
      <c r="F308" s="137"/>
      <c r="G308" s="231"/>
      <c r="H308" s="304"/>
      <c r="I308" s="240"/>
      <c r="J308" s="276"/>
      <c r="K308" s="501"/>
      <c r="L308" s="248"/>
      <c r="M308" s="440"/>
      <c r="N308" s="37"/>
      <c r="O308" s="37"/>
      <c r="P308" s="37"/>
      <c r="Q308" s="37"/>
      <c r="R308" s="37"/>
      <c r="S308" s="37"/>
      <c r="T308" s="37"/>
      <c r="U308" s="37"/>
      <c r="V308" s="37"/>
      <c r="W308" s="37"/>
      <c r="X308" s="37"/>
      <c r="Y308" s="37"/>
      <c r="Z308" s="37"/>
      <c r="AA308" s="37"/>
    </row>
    <row r="309" spans="1:27" ht="114" hidden="1" outlineLevel="1">
      <c r="A309" s="395">
        <v>1</v>
      </c>
      <c r="B309" s="130" t="s">
        <v>1036</v>
      </c>
      <c r="C309" s="130" t="s">
        <v>1037</v>
      </c>
      <c r="D309" s="130" t="s">
        <v>1038</v>
      </c>
      <c r="E309" s="130" t="s">
        <v>1039</v>
      </c>
      <c r="F309" s="169" t="s">
        <v>1175</v>
      </c>
      <c r="G309" s="396" t="s">
        <v>1279</v>
      </c>
      <c r="H309" s="196"/>
      <c r="I309" s="289"/>
      <c r="J309" s="196"/>
      <c r="K309" s="500"/>
      <c r="L309" s="196" t="s">
        <v>1182</v>
      </c>
      <c r="M309" s="427" t="s">
        <v>1314</v>
      </c>
      <c r="N309" s="37"/>
      <c r="O309" s="37"/>
      <c r="P309" s="37"/>
      <c r="Q309" s="37"/>
      <c r="R309" s="37"/>
      <c r="S309" s="37"/>
      <c r="T309" s="37"/>
      <c r="U309" s="37"/>
      <c r="V309" s="37"/>
      <c r="W309" s="37"/>
      <c r="X309" s="37"/>
      <c r="Y309" s="37"/>
      <c r="Z309" s="37"/>
      <c r="AA309" s="37"/>
    </row>
    <row r="310" spans="1:27" ht="213.75" hidden="1" outlineLevel="1">
      <c r="A310" s="415">
        <v>2</v>
      </c>
      <c r="B310" s="56" t="s">
        <v>1040</v>
      </c>
      <c r="C310" s="56" t="s">
        <v>1041</v>
      </c>
      <c r="D310" s="56" t="s">
        <v>1042</v>
      </c>
      <c r="E310" s="56" t="s">
        <v>1043</v>
      </c>
      <c r="F310" s="169" t="s">
        <v>1175</v>
      </c>
      <c r="G310" s="396" t="s">
        <v>1280</v>
      </c>
      <c r="H310" s="196"/>
      <c r="I310" s="289"/>
      <c r="J310" s="196"/>
      <c r="K310" s="500"/>
      <c r="L310" s="196" t="s">
        <v>1182</v>
      </c>
      <c r="M310" s="427" t="s">
        <v>1314</v>
      </c>
      <c r="N310" s="37"/>
      <c r="O310" s="37"/>
      <c r="P310" s="37"/>
      <c r="Q310" s="37"/>
      <c r="R310" s="37"/>
      <c r="S310" s="37"/>
      <c r="T310" s="37"/>
      <c r="U310" s="37"/>
      <c r="V310" s="37"/>
      <c r="W310" s="37"/>
      <c r="X310" s="37"/>
      <c r="Y310" s="37"/>
      <c r="Z310" s="37"/>
      <c r="AA310" s="37"/>
    </row>
    <row r="311" spans="1:27" ht="128.25" hidden="1" outlineLevel="1">
      <c r="A311" s="415">
        <v>3</v>
      </c>
      <c r="B311" s="56" t="s">
        <v>1044</v>
      </c>
      <c r="C311" s="56" t="s">
        <v>1045</v>
      </c>
      <c r="D311" s="56" t="s">
        <v>1046</v>
      </c>
      <c r="E311" s="56" t="s">
        <v>1047</v>
      </c>
      <c r="F311" s="169" t="s">
        <v>1175</v>
      </c>
      <c r="G311" s="396" t="s">
        <v>1281</v>
      </c>
      <c r="H311" s="196"/>
      <c r="I311" s="289"/>
      <c r="J311" s="196"/>
      <c r="K311" s="500"/>
      <c r="L311" s="196" t="s">
        <v>1183</v>
      </c>
      <c r="M311" s="275" t="s">
        <v>1423</v>
      </c>
      <c r="N311" s="37"/>
      <c r="O311" s="37"/>
      <c r="P311" s="37"/>
      <c r="Q311" s="37"/>
      <c r="R311" s="37"/>
      <c r="S311" s="37"/>
      <c r="T311" s="37"/>
      <c r="U311" s="37"/>
      <c r="V311" s="37"/>
      <c r="W311" s="37"/>
      <c r="X311" s="37"/>
      <c r="Y311" s="37"/>
      <c r="Z311" s="37"/>
      <c r="AA311" s="37"/>
    </row>
    <row r="312" spans="1:27" ht="142.5" hidden="1" outlineLevel="1">
      <c r="A312" s="390">
        <v>4</v>
      </c>
      <c r="B312" s="69" t="s">
        <v>1048</v>
      </c>
      <c r="C312" s="52" t="s">
        <v>1049</v>
      </c>
      <c r="D312" s="52" t="s">
        <v>1050</v>
      </c>
      <c r="E312" s="52" t="s">
        <v>1051</v>
      </c>
      <c r="F312" s="46" t="s">
        <v>46</v>
      </c>
      <c r="G312" s="331" t="s">
        <v>1282</v>
      </c>
      <c r="H312" s="196"/>
      <c r="I312" s="289"/>
      <c r="J312" s="196"/>
      <c r="K312" s="500"/>
      <c r="L312" s="196" t="s">
        <v>1182</v>
      </c>
      <c r="M312" s="427" t="s">
        <v>1417</v>
      </c>
      <c r="N312" s="37"/>
      <c r="O312" s="37"/>
      <c r="P312" s="37"/>
      <c r="Q312" s="37"/>
      <c r="R312" s="37"/>
      <c r="S312" s="37"/>
      <c r="T312" s="37"/>
      <c r="U312" s="37"/>
      <c r="V312" s="37"/>
      <c r="W312" s="37"/>
      <c r="X312" s="37"/>
      <c r="Y312" s="37"/>
      <c r="Z312" s="37"/>
      <c r="AA312" s="37"/>
    </row>
    <row r="313" spans="1:27" ht="128.25" hidden="1" outlineLevel="1">
      <c r="A313" s="390">
        <v>5</v>
      </c>
      <c r="B313" s="69" t="s">
        <v>1052</v>
      </c>
      <c r="C313" s="52" t="s">
        <v>1053</v>
      </c>
      <c r="D313" s="52" t="s">
        <v>1054</v>
      </c>
      <c r="E313" s="52" t="s">
        <v>1055</v>
      </c>
      <c r="F313" s="46" t="s">
        <v>46</v>
      </c>
      <c r="G313" s="331" t="s">
        <v>1283</v>
      </c>
      <c r="H313" s="196"/>
      <c r="I313" s="289"/>
      <c r="J313" s="196"/>
      <c r="K313" s="500"/>
      <c r="L313" s="196" t="s">
        <v>1182</v>
      </c>
      <c r="M313" s="427" t="s">
        <v>1314</v>
      </c>
      <c r="N313" s="37"/>
      <c r="O313" s="37"/>
      <c r="P313" s="37"/>
      <c r="Q313" s="37"/>
      <c r="R313" s="37"/>
      <c r="S313" s="37"/>
      <c r="T313" s="37"/>
      <c r="U313" s="37"/>
      <c r="V313" s="37"/>
      <c r="W313" s="37"/>
      <c r="X313" s="37"/>
      <c r="Y313" s="37"/>
      <c r="Z313" s="37"/>
      <c r="AA313" s="37"/>
    </row>
    <row r="314" spans="1:27" ht="186" hidden="1" outlineLevel="1">
      <c r="A314" s="390">
        <v>6</v>
      </c>
      <c r="B314" s="69" t="s">
        <v>1056</v>
      </c>
      <c r="C314" s="52" t="s">
        <v>1057</v>
      </c>
      <c r="D314" s="52" t="s">
        <v>1058</v>
      </c>
      <c r="E314" s="52" t="s">
        <v>1059</v>
      </c>
      <c r="F314" s="46" t="s">
        <v>46</v>
      </c>
      <c r="G314" s="331" t="s">
        <v>1284</v>
      </c>
      <c r="H314" s="196"/>
      <c r="I314" s="289"/>
      <c r="J314" s="196"/>
      <c r="K314" s="500"/>
      <c r="L314" s="196" t="s">
        <v>1178</v>
      </c>
      <c r="M314" s="275" t="s">
        <v>1418</v>
      </c>
      <c r="N314" s="37"/>
      <c r="O314" s="37"/>
      <c r="P314" s="37"/>
      <c r="Q314" s="37"/>
      <c r="R314" s="37"/>
      <c r="S314" s="37"/>
      <c r="T314" s="37"/>
      <c r="U314" s="37"/>
      <c r="V314" s="37"/>
      <c r="W314" s="37"/>
      <c r="X314" s="37"/>
      <c r="Y314" s="37"/>
      <c r="Z314" s="37"/>
      <c r="AA314" s="37"/>
    </row>
    <row r="315" spans="1:27" ht="128.25" hidden="1" outlineLevel="1">
      <c r="A315" s="390">
        <v>7</v>
      </c>
      <c r="B315" s="69" t="s">
        <v>1060</v>
      </c>
      <c r="C315" s="52" t="s">
        <v>1061</v>
      </c>
      <c r="D315" s="52" t="s">
        <v>1062</v>
      </c>
      <c r="E315" s="52" t="s">
        <v>1063</v>
      </c>
      <c r="F315" s="46" t="s">
        <v>46</v>
      </c>
      <c r="G315" s="331" t="s">
        <v>1285</v>
      </c>
      <c r="H315" s="196"/>
      <c r="I315" s="289"/>
      <c r="J315" s="196"/>
      <c r="K315" s="500"/>
      <c r="L315" s="196" t="s">
        <v>1178</v>
      </c>
      <c r="M315" s="275" t="s">
        <v>1419</v>
      </c>
      <c r="N315" s="37"/>
      <c r="O315" s="37"/>
      <c r="P315" s="37"/>
      <c r="Q315" s="37"/>
      <c r="R315" s="37"/>
      <c r="S315" s="37"/>
      <c r="T315" s="37"/>
      <c r="U315" s="37"/>
      <c r="V315" s="37"/>
      <c r="W315" s="37"/>
      <c r="X315" s="37"/>
      <c r="Y315" s="37"/>
      <c r="Z315" s="37"/>
      <c r="AA315" s="37"/>
    </row>
    <row r="316" spans="1:27" ht="128.25" hidden="1" outlineLevel="1">
      <c r="A316" s="397">
        <v>8</v>
      </c>
      <c r="B316" s="57" t="s">
        <v>1064</v>
      </c>
      <c r="C316" s="57" t="s">
        <v>1065</v>
      </c>
      <c r="D316" s="57" t="s">
        <v>1066</v>
      </c>
      <c r="E316" s="57" t="s">
        <v>1067</v>
      </c>
      <c r="F316" s="161" t="s">
        <v>1176</v>
      </c>
      <c r="G316" s="398" t="s">
        <v>1286</v>
      </c>
      <c r="H316" s="196"/>
      <c r="I316" s="289"/>
      <c r="J316" s="196"/>
      <c r="K316" s="500"/>
      <c r="L316" s="196" t="s">
        <v>1183</v>
      </c>
      <c r="M316" s="275" t="s">
        <v>1420</v>
      </c>
      <c r="N316" s="37"/>
      <c r="O316" s="37"/>
      <c r="P316" s="37"/>
      <c r="Q316" s="37"/>
      <c r="R316" s="37"/>
      <c r="S316" s="37"/>
      <c r="T316" s="37"/>
      <c r="U316" s="37"/>
      <c r="V316" s="37"/>
      <c r="W316" s="37"/>
      <c r="X316" s="37"/>
      <c r="Y316" s="37"/>
      <c r="Z316" s="37"/>
      <c r="AA316" s="37"/>
    </row>
    <row r="317" spans="1:27" ht="171" hidden="1" outlineLevel="1">
      <c r="A317" s="397">
        <v>9</v>
      </c>
      <c r="B317" s="57" t="s">
        <v>1068</v>
      </c>
      <c r="C317" s="57" t="s">
        <v>1069</v>
      </c>
      <c r="D317" s="57" t="s">
        <v>1070</v>
      </c>
      <c r="E317" s="57" t="s">
        <v>1071</v>
      </c>
      <c r="F317" s="161" t="s">
        <v>1176</v>
      </c>
      <c r="G317" s="398" t="s">
        <v>1287</v>
      </c>
      <c r="H317" s="196"/>
      <c r="I317" s="289"/>
      <c r="J317" s="196"/>
      <c r="K317" s="500"/>
      <c r="L317" s="196" t="s">
        <v>1182</v>
      </c>
      <c r="M317" s="427" t="s">
        <v>1314</v>
      </c>
      <c r="N317" s="37"/>
      <c r="O317" s="37"/>
      <c r="P317" s="37"/>
      <c r="Q317" s="37"/>
      <c r="R317" s="37"/>
      <c r="S317" s="37"/>
      <c r="T317" s="37"/>
      <c r="U317" s="37"/>
      <c r="V317" s="37"/>
      <c r="W317" s="37"/>
      <c r="X317" s="37"/>
      <c r="Y317" s="37"/>
      <c r="Z317" s="37"/>
      <c r="AA317" s="37"/>
    </row>
    <row r="318" spans="1:27" ht="171" hidden="1" outlineLevel="1">
      <c r="A318" s="397">
        <v>10</v>
      </c>
      <c r="B318" s="57" t="s">
        <v>1072</v>
      </c>
      <c r="C318" s="57" t="s">
        <v>1073</v>
      </c>
      <c r="D318" s="57" t="s">
        <v>1074</v>
      </c>
      <c r="E318" s="57" t="s">
        <v>1075</v>
      </c>
      <c r="F318" s="161" t="s">
        <v>1176</v>
      </c>
      <c r="G318" s="398" t="s">
        <v>1288</v>
      </c>
      <c r="H318" s="196"/>
      <c r="I318" s="289"/>
      <c r="J318" s="196"/>
      <c r="K318" s="500"/>
      <c r="L318" s="196" t="s">
        <v>1182</v>
      </c>
      <c r="M318" s="427" t="s">
        <v>1314</v>
      </c>
      <c r="N318" s="37"/>
      <c r="O318" s="37"/>
      <c r="P318" s="37"/>
      <c r="Q318" s="37"/>
      <c r="R318" s="37"/>
      <c r="S318" s="37"/>
      <c r="T318" s="37"/>
      <c r="U318" s="37"/>
      <c r="V318" s="37"/>
      <c r="W318" s="37"/>
      <c r="X318" s="37"/>
      <c r="Y318" s="37"/>
      <c r="Z318" s="37"/>
      <c r="AA318" s="37"/>
    </row>
    <row r="319" spans="1:27" ht="185.25" hidden="1" outlineLevel="1">
      <c r="A319" s="397">
        <v>11</v>
      </c>
      <c r="B319" s="57" t="s">
        <v>1076</v>
      </c>
      <c r="C319" s="57" t="s">
        <v>1077</v>
      </c>
      <c r="D319" s="57" t="s">
        <v>1078</v>
      </c>
      <c r="E319" s="57" t="s">
        <v>1079</v>
      </c>
      <c r="F319" s="161" t="s">
        <v>1176</v>
      </c>
      <c r="G319" s="398" t="s">
        <v>1289</v>
      </c>
      <c r="H319" s="196"/>
      <c r="I319" s="289"/>
      <c r="J319" s="196"/>
      <c r="K319" s="500"/>
      <c r="L319" s="196" t="s">
        <v>1182</v>
      </c>
      <c r="M319" s="427" t="s">
        <v>1314</v>
      </c>
      <c r="N319" s="37"/>
      <c r="O319" s="37"/>
      <c r="P319" s="37"/>
      <c r="Q319" s="37"/>
      <c r="R319" s="37"/>
      <c r="S319" s="37"/>
      <c r="T319" s="37"/>
      <c r="U319" s="37"/>
      <c r="V319" s="37"/>
      <c r="W319" s="37"/>
      <c r="X319" s="37"/>
      <c r="Y319" s="37"/>
      <c r="Z319" s="37"/>
      <c r="AA319" s="37"/>
    </row>
    <row r="320" spans="1:27" ht="171" hidden="1" outlineLevel="1">
      <c r="A320" s="397">
        <v>12</v>
      </c>
      <c r="B320" s="57" t="s">
        <v>1080</v>
      </c>
      <c r="C320" s="57" t="s">
        <v>1081</v>
      </c>
      <c r="D320" s="57" t="s">
        <v>1082</v>
      </c>
      <c r="E320" s="57" t="s">
        <v>1083</v>
      </c>
      <c r="F320" s="161" t="s">
        <v>1176</v>
      </c>
      <c r="G320" s="399" t="s">
        <v>1290</v>
      </c>
      <c r="H320" s="196"/>
      <c r="I320" s="289"/>
      <c r="J320" s="196"/>
      <c r="K320" s="500"/>
      <c r="L320" s="196" t="s">
        <v>1182</v>
      </c>
      <c r="M320" s="427" t="s">
        <v>1314</v>
      </c>
      <c r="N320" s="37"/>
      <c r="O320" s="37"/>
      <c r="P320" s="37"/>
      <c r="Q320" s="37"/>
      <c r="R320" s="37"/>
      <c r="S320" s="37"/>
      <c r="T320" s="37"/>
      <c r="U320" s="37"/>
      <c r="V320" s="37"/>
      <c r="W320" s="37"/>
      <c r="X320" s="37"/>
      <c r="Y320" s="37"/>
      <c r="Z320" s="37"/>
      <c r="AA320" s="37"/>
    </row>
    <row r="321" spans="1:27" ht="171" hidden="1" outlineLevel="1">
      <c r="A321" s="400">
        <v>18</v>
      </c>
      <c r="B321" s="58" t="s">
        <v>1084</v>
      </c>
      <c r="C321" s="58" t="s">
        <v>1085</v>
      </c>
      <c r="D321" s="58" t="s">
        <v>1086</v>
      </c>
      <c r="E321" s="58" t="s">
        <v>1087</v>
      </c>
      <c r="F321" s="165" t="s">
        <v>56</v>
      </c>
      <c r="G321" s="401" t="s">
        <v>1291</v>
      </c>
      <c r="H321" s="196"/>
      <c r="I321" s="289"/>
      <c r="J321" s="196"/>
      <c r="K321" s="500"/>
      <c r="L321" s="196" t="s">
        <v>1182</v>
      </c>
      <c r="M321" s="427" t="s">
        <v>1314</v>
      </c>
      <c r="N321" s="37"/>
      <c r="O321" s="37"/>
      <c r="P321" s="37"/>
      <c r="Q321" s="37"/>
      <c r="R321" s="37"/>
      <c r="S321" s="37"/>
      <c r="T321" s="37"/>
      <c r="U321" s="37"/>
      <c r="V321" s="37"/>
      <c r="W321" s="37"/>
      <c r="X321" s="37"/>
      <c r="Y321" s="37"/>
      <c r="Z321" s="37"/>
      <c r="AA321" s="37"/>
    </row>
    <row r="322" spans="1:27" ht="57" hidden="1" outlineLevel="1">
      <c r="A322" s="400">
        <v>20</v>
      </c>
      <c r="B322" s="58" t="s">
        <v>1088</v>
      </c>
      <c r="C322" s="58" t="s">
        <v>1089</v>
      </c>
      <c r="D322" s="58" t="s">
        <v>1090</v>
      </c>
      <c r="E322" s="58" t="s">
        <v>1091</v>
      </c>
      <c r="F322" s="165" t="s">
        <v>56</v>
      </c>
      <c r="G322" s="401" t="s">
        <v>1292</v>
      </c>
      <c r="H322" s="196"/>
      <c r="I322" s="289"/>
      <c r="J322" s="196"/>
      <c r="K322" s="500"/>
      <c r="L322" s="196" t="s">
        <v>1183</v>
      </c>
      <c r="M322" s="275" t="s">
        <v>1421</v>
      </c>
      <c r="N322" s="37"/>
      <c r="O322" s="37"/>
      <c r="P322" s="37"/>
      <c r="Q322" s="37"/>
      <c r="R322" s="37"/>
      <c r="S322" s="37"/>
      <c r="T322" s="37"/>
      <c r="U322" s="37"/>
      <c r="V322" s="37"/>
      <c r="W322" s="37"/>
      <c r="X322" s="37"/>
      <c r="Y322" s="37"/>
      <c r="Z322" s="37"/>
      <c r="AA322" s="37"/>
    </row>
    <row r="323" spans="1:27" ht="114" hidden="1" outlineLevel="1">
      <c r="A323" s="402">
        <v>21</v>
      </c>
      <c r="B323" s="127" t="s">
        <v>1092</v>
      </c>
      <c r="C323" s="127" t="s">
        <v>1093</v>
      </c>
      <c r="D323" s="127" t="s">
        <v>1094</v>
      </c>
      <c r="E323" s="127" t="s">
        <v>1095</v>
      </c>
      <c r="F323" s="165" t="s">
        <v>56</v>
      </c>
      <c r="G323" s="401" t="s">
        <v>1293</v>
      </c>
      <c r="H323" s="196"/>
      <c r="I323" s="289"/>
      <c r="J323" s="196"/>
      <c r="K323" s="500"/>
      <c r="L323" s="196" t="s">
        <v>1183</v>
      </c>
      <c r="M323" s="275" t="s">
        <v>1422</v>
      </c>
      <c r="N323" s="37"/>
      <c r="O323" s="37"/>
      <c r="P323" s="37"/>
      <c r="Q323" s="37"/>
      <c r="R323" s="37"/>
      <c r="S323" s="37"/>
      <c r="T323" s="37"/>
      <c r="U323" s="37"/>
      <c r="V323" s="37"/>
      <c r="W323" s="37"/>
      <c r="X323" s="37"/>
      <c r="Y323" s="37"/>
      <c r="Z323" s="37"/>
      <c r="AA323" s="37"/>
    </row>
    <row r="324" spans="1:27" ht="15" hidden="1" customHeight="1" collapsed="1">
      <c r="A324" s="355" t="s">
        <v>1096</v>
      </c>
      <c r="B324" s="180"/>
      <c r="C324" s="180"/>
      <c r="D324" s="180"/>
      <c r="E324" s="180"/>
      <c r="F324" s="174"/>
      <c r="G324" s="255"/>
      <c r="H324" s="304"/>
      <c r="I324" s="240"/>
      <c r="J324" s="276"/>
      <c r="K324" s="501"/>
      <c r="L324" s="248"/>
      <c r="M324" s="440"/>
      <c r="N324" s="37"/>
      <c r="O324" s="37"/>
      <c r="P324" s="37"/>
      <c r="Q324" s="37"/>
      <c r="R324" s="37"/>
      <c r="S324" s="37"/>
      <c r="T324" s="37"/>
      <c r="U324" s="37"/>
      <c r="V324" s="37"/>
      <c r="W324" s="37"/>
      <c r="X324" s="37"/>
      <c r="Y324" s="37"/>
      <c r="Z324" s="37"/>
      <c r="AA324" s="37"/>
    </row>
    <row r="325" spans="1:27" ht="409.5" hidden="1" outlineLevel="1">
      <c r="A325" s="395">
        <v>1</v>
      </c>
      <c r="B325" s="130" t="s">
        <v>1097</v>
      </c>
      <c r="C325" s="188" t="s">
        <v>1098</v>
      </c>
      <c r="D325" s="130" t="s">
        <v>1099</v>
      </c>
      <c r="E325" s="130" t="s">
        <v>1100</v>
      </c>
      <c r="F325" s="173" t="s">
        <v>1175</v>
      </c>
      <c r="G325" s="416" t="s">
        <v>1294</v>
      </c>
      <c r="H325" s="196"/>
      <c r="I325" s="172"/>
      <c r="J325" s="196"/>
      <c r="K325" s="500"/>
      <c r="L325" s="196" t="s">
        <v>1183</v>
      </c>
      <c r="M325" s="470" t="s">
        <v>1354</v>
      </c>
      <c r="N325" s="37"/>
      <c r="O325" s="37"/>
      <c r="P325" s="37"/>
      <c r="Q325" s="37"/>
      <c r="R325" s="37"/>
      <c r="S325" s="37"/>
      <c r="T325" s="37"/>
      <c r="U325" s="37"/>
      <c r="V325" s="37"/>
      <c r="W325" s="37"/>
      <c r="X325" s="37"/>
      <c r="Y325" s="37"/>
      <c r="Z325" s="37"/>
      <c r="AA325" s="37"/>
    </row>
    <row r="326" spans="1:27" ht="356.25" hidden="1" outlineLevel="1">
      <c r="A326" s="415">
        <v>2</v>
      </c>
      <c r="B326" s="56" t="s">
        <v>1101</v>
      </c>
      <c r="C326" s="189" t="s">
        <v>1102</v>
      </c>
      <c r="D326" s="56" t="s">
        <v>1103</v>
      </c>
      <c r="E326" s="56" t="s">
        <v>1104</v>
      </c>
      <c r="F326" s="173" t="s">
        <v>1175</v>
      </c>
      <c r="G326" s="416" t="s">
        <v>1295</v>
      </c>
      <c r="H326" s="196"/>
      <c r="I326" s="172"/>
      <c r="J326" s="196"/>
      <c r="K326" s="500"/>
      <c r="L326" s="196" t="s">
        <v>1182</v>
      </c>
      <c r="M326" s="427" t="s">
        <v>1314</v>
      </c>
      <c r="N326" s="37"/>
      <c r="O326" s="37"/>
      <c r="P326" s="37"/>
      <c r="Q326" s="37"/>
      <c r="R326" s="37"/>
      <c r="S326" s="37"/>
      <c r="T326" s="37"/>
      <c r="U326" s="37"/>
      <c r="V326" s="37"/>
      <c r="W326" s="37"/>
      <c r="X326" s="37"/>
      <c r="Y326" s="37"/>
      <c r="Z326" s="37"/>
      <c r="AA326" s="37"/>
    </row>
    <row r="327" spans="1:27" ht="409.5" hidden="1" outlineLevel="1">
      <c r="A327" s="415">
        <v>4</v>
      </c>
      <c r="B327" s="56" t="s">
        <v>1105</v>
      </c>
      <c r="C327" s="189" t="s">
        <v>1106</v>
      </c>
      <c r="D327" s="56" t="s">
        <v>1107</v>
      </c>
      <c r="E327" s="56" t="s">
        <v>1108</v>
      </c>
      <c r="F327" s="169" t="s">
        <v>1175</v>
      </c>
      <c r="G327" s="417" t="s">
        <v>1296</v>
      </c>
      <c r="H327" s="196"/>
      <c r="I327" s="172"/>
      <c r="J327" s="196"/>
      <c r="K327" s="500"/>
      <c r="L327" s="196" t="s">
        <v>1183</v>
      </c>
      <c r="M327" s="470" t="s">
        <v>1355</v>
      </c>
      <c r="N327" s="37"/>
      <c r="O327" s="37"/>
      <c r="P327" s="37"/>
      <c r="Q327" s="37"/>
      <c r="R327" s="37"/>
      <c r="S327" s="37"/>
      <c r="T327" s="37"/>
      <c r="U327" s="37"/>
      <c r="V327" s="37"/>
      <c r="W327" s="37"/>
      <c r="X327" s="37"/>
      <c r="Y327" s="37"/>
      <c r="Z327" s="37"/>
      <c r="AA327" s="37"/>
    </row>
    <row r="328" spans="1:27" ht="409.5" hidden="1" outlineLevel="1">
      <c r="A328" s="418">
        <v>3</v>
      </c>
      <c r="B328" s="190" t="s">
        <v>1109</v>
      </c>
      <c r="C328" s="191" t="s">
        <v>1110</v>
      </c>
      <c r="D328" s="190" t="s">
        <v>1111</v>
      </c>
      <c r="E328" s="190" t="s">
        <v>1112</v>
      </c>
      <c r="F328" s="161" t="s">
        <v>1176</v>
      </c>
      <c r="G328" s="419" t="s">
        <v>1297</v>
      </c>
      <c r="H328" s="196"/>
      <c r="I328" s="172"/>
      <c r="J328" s="196"/>
      <c r="K328" s="500"/>
      <c r="L328" s="196" t="s">
        <v>1182</v>
      </c>
      <c r="M328" s="427" t="s">
        <v>1314</v>
      </c>
      <c r="N328" s="37"/>
      <c r="O328" s="37"/>
      <c r="P328" s="37"/>
      <c r="Q328" s="37"/>
      <c r="R328" s="37"/>
      <c r="S328" s="37"/>
      <c r="T328" s="37"/>
      <c r="U328" s="37"/>
      <c r="V328" s="37"/>
      <c r="W328" s="37"/>
      <c r="X328" s="37"/>
      <c r="Y328" s="37"/>
      <c r="Z328" s="37"/>
      <c r="AA328" s="37"/>
    </row>
    <row r="329" spans="1:27" ht="409.5" hidden="1" outlineLevel="1">
      <c r="A329" s="400">
        <v>5</v>
      </c>
      <c r="B329" s="58" t="s">
        <v>1113</v>
      </c>
      <c r="C329" s="192" t="s">
        <v>1114</v>
      </c>
      <c r="D329" s="58" t="s">
        <v>1115</v>
      </c>
      <c r="E329" s="58" t="s">
        <v>1116</v>
      </c>
      <c r="F329" s="165" t="s">
        <v>56</v>
      </c>
      <c r="G329" s="401" t="s">
        <v>1298</v>
      </c>
      <c r="H329" s="196"/>
      <c r="I329" s="172"/>
      <c r="J329" s="196"/>
      <c r="K329" s="500"/>
      <c r="L329" s="196" t="s">
        <v>1182</v>
      </c>
      <c r="M329" s="427" t="s">
        <v>1314</v>
      </c>
      <c r="N329" s="37"/>
      <c r="O329" s="37"/>
      <c r="P329" s="37"/>
      <c r="Q329" s="37"/>
      <c r="R329" s="37"/>
      <c r="S329" s="37"/>
      <c r="T329" s="37"/>
      <c r="U329" s="37"/>
      <c r="V329" s="37"/>
      <c r="W329" s="37"/>
      <c r="X329" s="37"/>
      <c r="Y329" s="37"/>
      <c r="Z329" s="37"/>
      <c r="AA329" s="37"/>
    </row>
    <row r="330" spans="1:27" ht="213.75" hidden="1" outlineLevel="1">
      <c r="A330" s="400">
        <v>7</v>
      </c>
      <c r="B330" s="58" t="s">
        <v>1117</v>
      </c>
      <c r="C330" s="192" t="s">
        <v>1118</v>
      </c>
      <c r="D330" s="58" t="s">
        <v>1119</v>
      </c>
      <c r="E330" s="58" t="s">
        <v>1120</v>
      </c>
      <c r="F330" s="165" t="s">
        <v>56</v>
      </c>
      <c r="G330" s="401" t="s">
        <v>1299</v>
      </c>
      <c r="H330" s="196"/>
      <c r="I330" s="172"/>
      <c r="J330" s="196"/>
      <c r="K330" s="500"/>
      <c r="L330" s="196" t="s">
        <v>1183</v>
      </c>
      <c r="M330" s="470" t="s">
        <v>1343</v>
      </c>
      <c r="N330" s="37"/>
      <c r="O330" s="37"/>
      <c r="P330" s="37"/>
      <c r="Q330" s="37"/>
      <c r="R330" s="37"/>
      <c r="S330" s="37"/>
      <c r="T330" s="37"/>
      <c r="U330" s="37"/>
      <c r="V330" s="37"/>
      <c r="W330" s="37"/>
      <c r="X330" s="37"/>
      <c r="Y330" s="37"/>
      <c r="Z330" s="37"/>
      <c r="AA330" s="37"/>
    </row>
    <row r="331" spans="1:27" ht="370.5" hidden="1" outlineLevel="1">
      <c r="A331" s="402">
        <v>9</v>
      </c>
      <c r="B331" s="127" t="s">
        <v>1121</v>
      </c>
      <c r="C331" s="193" t="s">
        <v>1122</v>
      </c>
      <c r="D331" s="127" t="s">
        <v>1123</v>
      </c>
      <c r="E331" s="127" t="s">
        <v>1124</v>
      </c>
      <c r="F331" s="165" t="s">
        <v>56</v>
      </c>
      <c r="G331" s="401" t="s">
        <v>1300</v>
      </c>
      <c r="H331" s="196"/>
      <c r="I331" s="172"/>
      <c r="J331" s="196"/>
      <c r="K331" s="500"/>
      <c r="L331" s="196" t="s">
        <v>1183</v>
      </c>
      <c r="M331" s="470" t="s">
        <v>1356</v>
      </c>
      <c r="N331" s="37"/>
      <c r="O331" s="37"/>
      <c r="P331" s="37"/>
      <c r="Q331" s="37"/>
      <c r="R331" s="37"/>
      <c r="S331" s="37"/>
      <c r="T331" s="37"/>
      <c r="U331" s="37"/>
      <c r="V331" s="37"/>
      <c r="W331" s="37"/>
      <c r="X331" s="37"/>
      <c r="Y331" s="37"/>
      <c r="Z331" s="37"/>
      <c r="AA331" s="37"/>
    </row>
    <row r="332" spans="1:27" ht="15" hidden="1" customHeight="1" collapsed="1" thickBot="1">
      <c r="A332" s="420" t="s">
        <v>1125</v>
      </c>
      <c r="B332" s="421"/>
      <c r="C332" s="421"/>
      <c r="D332" s="421"/>
      <c r="E332" s="421"/>
      <c r="F332" s="422"/>
      <c r="G332" s="423"/>
      <c r="H332" s="314"/>
      <c r="I332" s="286"/>
      <c r="J332" s="285"/>
      <c r="K332" s="508"/>
      <c r="L332" s="256"/>
      <c r="M332" s="452"/>
      <c r="N332" s="37"/>
      <c r="O332" s="37"/>
      <c r="P332" s="37"/>
      <c r="Q332" s="37"/>
      <c r="R332" s="37"/>
      <c r="S332" s="37"/>
      <c r="T332" s="37"/>
      <c r="U332" s="37"/>
      <c r="V332" s="37"/>
      <c r="W332" s="37"/>
      <c r="X332" s="37"/>
      <c r="Y332" s="37"/>
      <c r="Z332" s="37"/>
      <c r="AA332" s="37"/>
    </row>
    <row r="333" spans="1:27" ht="409.5" hidden="1" outlineLevel="1">
      <c r="A333" s="124">
        <v>22</v>
      </c>
      <c r="B333" s="125" t="s">
        <v>1126</v>
      </c>
      <c r="C333" s="126" t="s">
        <v>1127</v>
      </c>
      <c r="D333" s="125" t="s">
        <v>1168</v>
      </c>
      <c r="E333" s="125" t="s">
        <v>1128</v>
      </c>
      <c r="F333" s="315" t="s">
        <v>1175</v>
      </c>
      <c r="G333" s="316" t="s">
        <v>1301</v>
      </c>
      <c r="H333" s="205"/>
      <c r="I333" s="172"/>
      <c r="J333" s="205"/>
      <c r="K333" s="509"/>
      <c r="L333" s="517" t="s">
        <v>1183</v>
      </c>
      <c r="M333" s="518" t="s">
        <v>1319</v>
      </c>
      <c r="N333" s="37"/>
      <c r="O333" s="37"/>
      <c r="P333" s="37"/>
      <c r="Q333" s="37"/>
      <c r="R333" s="37"/>
      <c r="S333" s="37"/>
      <c r="T333" s="37"/>
      <c r="U333" s="37"/>
      <c r="V333" s="37"/>
      <c r="W333" s="37"/>
      <c r="X333" s="37"/>
      <c r="Y333" s="37"/>
      <c r="Z333" s="37"/>
      <c r="AA333" s="37"/>
    </row>
    <row r="334" spans="1:27" ht="213.75" hidden="1" outlineLevel="1">
      <c r="A334" s="114">
        <v>10</v>
      </c>
      <c r="B334" s="70" t="s">
        <v>1129</v>
      </c>
      <c r="C334" s="70" t="s">
        <v>1130</v>
      </c>
      <c r="D334" s="70" t="s">
        <v>1131</v>
      </c>
      <c r="E334" s="70" t="s">
        <v>1132</v>
      </c>
      <c r="F334" s="158" t="s">
        <v>46</v>
      </c>
      <c r="G334" s="159" t="s">
        <v>1302</v>
      </c>
      <c r="H334" s="112"/>
      <c r="I334" s="172"/>
      <c r="J334" s="112"/>
      <c r="K334" s="510"/>
      <c r="L334" s="196" t="s">
        <v>1183</v>
      </c>
      <c r="M334" s="470" t="s">
        <v>1357</v>
      </c>
      <c r="N334" s="37"/>
      <c r="O334" s="37"/>
      <c r="P334" s="37"/>
      <c r="Q334" s="37"/>
      <c r="R334" s="37"/>
      <c r="S334" s="37"/>
      <c r="T334" s="37"/>
      <c r="U334" s="37"/>
      <c r="V334" s="37"/>
      <c r="W334" s="37"/>
      <c r="X334" s="37"/>
      <c r="Y334" s="37"/>
      <c r="Z334" s="37"/>
      <c r="AA334" s="37"/>
    </row>
    <row r="335" spans="1:27" ht="185.25" hidden="1" outlineLevel="1">
      <c r="A335" s="114">
        <v>12</v>
      </c>
      <c r="B335" s="70" t="s">
        <v>1133</v>
      </c>
      <c r="C335" s="70" t="s">
        <v>1134</v>
      </c>
      <c r="D335" s="70" t="s">
        <v>1135</v>
      </c>
      <c r="E335" s="70" t="s">
        <v>1136</v>
      </c>
      <c r="F335" s="158" t="s">
        <v>46</v>
      </c>
      <c r="G335" s="159" t="s">
        <v>1303</v>
      </c>
      <c r="H335" s="112"/>
      <c r="I335" s="461"/>
      <c r="J335" s="112"/>
      <c r="K335" s="510"/>
      <c r="L335" s="196" t="s">
        <v>1183</v>
      </c>
      <c r="M335" s="468" t="s">
        <v>1358</v>
      </c>
      <c r="N335" s="37"/>
      <c r="O335" s="37"/>
      <c r="P335" s="37"/>
      <c r="Q335" s="37"/>
      <c r="R335" s="37"/>
      <c r="S335" s="37"/>
      <c r="T335" s="37"/>
      <c r="U335" s="37"/>
      <c r="V335" s="37"/>
      <c r="W335" s="37"/>
      <c r="X335" s="37"/>
      <c r="Y335" s="37"/>
      <c r="Z335" s="37"/>
      <c r="AA335" s="37"/>
    </row>
    <row r="336" spans="1:27" ht="409.5" hidden="1" outlineLevel="1">
      <c r="A336" s="114">
        <v>13</v>
      </c>
      <c r="B336" s="70" t="s">
        <v>1137</v>
      </c>
      <c r="C336" s="70" t="s">
        <v>1138</v>
      </c>
      <c r="D336" s="70" t="s">
        <v>1139</v>
      </c>
      <c r="E336" s="70" t="s">
        <v>1140</v>
      </c>
      <c r="F336" s="158" t="s">
        <v>46</v>
      </c>
      <c r="G336" s="159" t="s">
        <v>1304</v>
      </c>
      <c r="H336" s="112"/>
      <c r="I336" s="461"/>
      <c r="J336" s="112"/>
      <c r="K336" s="510"/>
      <c r="L336" s="196" t="s">
        <v>1183</v>
      </c>
      <c r="M336" s="468" t="s">
        <v>1358</v>
      </c>
      <c r="N336" s="37"/>
      <c r="O336" s="37"/>
      <c r="P336" s="37"/>
      <c r="Q336" s="37"/>
      <c r="R336" s="37"/>
      <c r="S336" s="37"/>
      <c r="T336" s="37"/>
      <c r="U336" s="37"/>
      <c r="V336" s="37"/>
      <c r="W336" s="37"/>
      <c r="X336" s="37"/>
      <c r="Y336" s="37"/>
      <c r="Z336" s="37"/>
      <c r="AA336" s="37"/>
    </row>
    <row r="337" spans="1:27" ht="409.5" hidden="1" outlineLevel="1">
      <c r="A337" s="115">
        <v>11</v>
      </c>
      <c r="B337" s="71" t="s">
        <v>1141</v>
      </c>
      <c r="C337" s="71" t="s">
        <v>1142</v>
      </c>
      <c r="D337" s="71" t="s">
        <v>1143</v>
      </c>
      <c r="E337" s="71" t="s">
        <v>1144</v>
      </c>
      <c r="F337" s="166" t="s">
        <v>1176</v>
      </c>
      <c r="G337" s="167" t="s">
        <v>1305</v>
      </c>
      <c r="H337" s="112"/>
      <c r="I337" s="172"/>
      <c r="J337" s="112"/>
      <c r="K337" s="510"/>
      <c r="L337" s="196" t="s">
        <v>1178</v>
      </c>
      <c r="M337" s="470" t="s">
        <v>1359</v>
      </c>
      <c r="N337" s="37"/>
      <c r="O337" s="37"/>
      <c r="P337" s="37"/>
      <c r="Q337" s="37"/>
      <c r="R337" s="37"/>
      <c r="S337" s="37"/>
      <c r="T337" s="37"/>
      <c r="U337" s="37"/>
      <c r="V337" s="37"/>
      <c r="W337" s="37"/>
      <c r="X337" s="37"/>
      <c r="Y337" s="37"/>
      <c r="Z337" s="37"/>
      <c r="AA337" s="37"/>
    </row>
    <row r="338" spans="1:27" ht="228" hidden="1" outlineLevel="1">
      <c r="A338" s="115">
        <v>15</v>
      </c>
      <c r="B338" s="71" t="s">
        <v>1145</v>
      </c>
      <c r="C338" s="71" t="s">
        <v>1146</v>
      </c>
      <c r="D338" s="71" t="s">
        <v>1147</v>
      </c>
      <c r="E338" s="71" t="s">
        <v>1148</v>
      </c>
      <c r="F338" s="166" t="s">
        <v>1176</v>
      </c>
      <c r="G338" s="168" t="s">
        <v>1306</v>
      </c>
      <c r="H338" s="112"/>
      <c r="I338" s="172"/>
      <c r="J338" s="112"/>
      <c r="K338" s="510"/>
      <c r="L338" s="196" t="s">
        <v>1183</v>
      </c>
      <c r="M338" s="470" t="s">
        <v>1343</v>
      </c>
      <c r="N338" s="37"/>
      <c r="O338" s="37"/>
      <c r="P338" s="37"/>
      <c r="Q338" s="37"/>
      <c r="R338" s="37"/>
      <c r="S338" s="37"/>
      <c r="T338" s="37"/>
      <c r="U338" s="37"/>
      <c r="V338" s="37"/>
      <c r="W338" s="37"/>
      <c r="X338" s="37"/>
      <c r="Y338" s="37"/>
      <c r="Z338" s="37"/>
      <c r="AA338" s="37"/>
    </row>
    <row r="339" spans="1:27" ht="242.25" hidden="1" outlineLevel="1">
      <c r="A339" s="115">
        <v>17</v>
      </c>
      <c r="B339" s="71" t="s">
        <v>1145</v>
      </c>
      <c r="C339" s="71" t="s">
        <v>1149</v>
      </c>
      <c r="D339" s="71" t="s">
        <v>1150</v>
      </c>
      <c r="E339" s="71" t="s">
        <v>1151</v>
      </c>
      <c r="F339" s="166" t="s">
        <v>1176</v>
      </c>
      <c r="G339" s="168" t="s">
        <v>1307</v>
      </c>
      <c r="H339" s="112"/>
      <c r="I339" s="172"/>
      <c r="J339" s="112"/>
      <c r="K339" s="510"/>
      <c r="L339" s="196" t="s">
        <v>1183</v>
      </c>
      <c r="M339" s="470" t="s">
        <v>1360</v>
      </c>
      <c r="N339" s="37"/>
      <c r="O339" s="37"/>
      <c r="P339" s="37"/>
      <c r="Q339" s="37"/>
      <c r="R339" s="37"/>
      <c r="S339" s="37"/>
      <c r="T339" s="37"/>
      <c r="U339" s="37"/>
      <c r="V339" s="37"/>
      <c r="W339" s="37"/>
      <c r="X339" s="37"/>
      <c r="Y339" s="37"/>
      <c r="Z339" s="37"/>
      <c r="AA339" s="37"/>
    </row>
    <row r="340" spans="1:27" ht="185.25" hidden="1" outlineLevel="1">
      <c r="A340" s="115">
        <v>18</v>
      </c>
      <c r="B340" s="71" t="s">
        <v>1152</v>
      </c>
      <c r="C340" s="71" t="s">
        <v>1153</v>
      </c>
      <c r="D340" s="71" t="s">
        <v>1154</v>
      </c>
      <c r="E340" s="71" t="s">
        <v>1155</v>
      </c>
      <c r="F340" s="166" t="s">
        <v>1176</v>
      </c>
      <c r="G340" s="168" t="s">
        <v>1308</v>
      </c>
      <c r="H340" s="112"/>
      <c r="I340" s="172"/>
      <c r="J340" s="112"/>
      <c r="K340" s="510"/>
      <c r="L340" s="196" t="s">
        <v>1178</v>
      </c>
      <c r="M340" s="470" t="s">
        <v>1424</v>
      </c>
      <c r="N340" s="37"/>
      <c r="O340" s="37"/>
      <c r="P340" s="37"/>
      <c r="Q340" s="37"/>
      <c r="R340" s="37"/>
      <c r="S340" s="37"/>
      <c r="T340" s="37"/>
      <c r="U340" s="37"/>
      <c r="V340" s="37"/>
      <c r="W340" s="37"/>
      <c r="X340" s="37"/>
      <c r="Y340" s="37"/>
      <c r="Z340" s="37"/>
      <c r="AA340" s="37"/>
    </row>
    <row r="341" spans="1:27" ht="144" hidden="1" outlineLevel="1">
      <c r="A341" s="116">
        <v>19</v>
      </c>
      <c r="B341" s="72" t="s">
        <v>1141</v>
      </c>
      <c r="C341" s="72" t="s">
        <v>1156</v>
      </c>
      <c r="D341" s="72" t="s">
        <v>1169</v>
      </c>
      <c r="E341" s="72" t="s">
        <v>1157</v>
      </c>
      <c r="F341" s="156" t="s">
        <v>56</v>
      </c>
      <c r="G341" s="157" t="s">
        <v>1309</v>
      </c>
      <c r="H341" s="112"/>
      <c r="I341" s="172"/>
      <c r="J341" s="112"/>
      <c r="K341" s="510"/>
      <c r="L341" s="196" t="s">
        <v>1183</v>
      </c>
      <c r="M341" s="470" t="s">
        <v>1343</v>
      </c>
      <c r="N341" s="37"/>
      <c r="O341" s="37"/>
      <c r="P341" s="37"/>
      <c r="Q341" s="37"/>
      <c r="R341" s="37"/>
      <c r="S341" s="37"/>
      <c r="T341" s="37"/>
      <c r="U341" s="37"/>
      <c r="V341" s="37"/>
      <c r="W341" s="37"/>
      <c r="X341" s="37"/>
      <c r="Y341" s="37"/>
      <c r="Z341" s="37"/>
      <c r="AA341" s="37"/>
    </row>
    <row r="342" spans="1:27" ht="114" hidden="1" outlineLevel="1">
      <c r="A342" s="116">
        <v>21</v>
      </c>
      <c r="B342" s="72" t="s">
        <v>1145</v>
      </c>
      <c r="C342" s="72" t="s">
        <v>1158</v>
      </c>
      <c r="D342" s="72" t="s">
        <v>1159</v>
      </c>
      <c r="E342" s="72" t="s">
        <v>1160</v>
      </c>
      <c r="F342" s="156" t="s">
        <v>56</v>
      </c>
      <c r="G342" s="157" t="s">
        <v>1310</v>
      </c>
      <c r="H342" s="112"/>
      <c r="I342" s="172"/>
      <c r="J342" s="112"/>
      <c r="K342" s="510"/>
      <c r="L342" s="196" t="s">
        <v>1183</v>
      </c>
      <c r="M342" s="470" t="s">
        <v>1361</v>
      </c>
      <c r="N342" s="37"/>
      <c r="O342" s="37"/>
      <c r="P342" s="37"/>
      <c r="Q342" s="37"/>
      <c r="R342" s="37"/>
      <c r="S342" s="37"/>
      <c r="T342" s="37"/>
      <c r="U342" s="37"/>
      <c r="V342" s="37"/>
      <c r="W342" s="37"/>
      <c r="X342" s="37"/>
      <c r="Y342" s="37"/>
      <c r="Z342" s="37"/>
      <c r="AA342" s="37"/>
    </row>
    <row r="343" spans="1:27" ht="143.25" hidden="1" outlineLevel="1" thickBot="1">
      <c r="A343" s="116">
        <v>24</v>
      </c>
      <c r="B343" s="72" t="s">
        <v>1145</v>
      </c>
      <c r="C343" s="72" t="s">
        <v>1161</v>
      </c>
      <c r="D343" s="72" t="s">
        <v>1162</v>
      </c>
      <c r="E343" s="72" t="s">
        <v>1163</v>
      </c>
      <c r="F343" s="156" t="s">
        <v>56</v>
      </c>
      <c r="G343" s="157" t="s">
        <v>1311</v>
      </c>
      <c r="H343" s="112"/>
      <c r="I343" s="172"/>
      <c r="J343" s="112"/>
      <c r="K343" s="510"/>
      <c r="L343" s="519" t="s">
        <v>1183</v>
      </c>
      <c r="M343" s="520" t="s">
        <v>1362</v>
      </c>
      <c r="N343" s="37"/>
      <c r="O343" s="37"/>
      <c r="P343" s="37"/>
      <c r="Q343" s="37"/>
      <c r="R343" s="37"/>
      <c r="S343" s="37"/>
      <c r="T343" s="37"/>
      <c r="U343" s="37"/>
      <c r="V343" s="37"/>
      <c r="W343" s="37"/>
      <c r="X343" s="37"/>
      <c r="Y343" s="37"/>
      <c r="Z343" s="37"/>
      <c r="AA343" s="37"/>
    </row>
    <row r="344" spans="1:27">
      <c r="A344" s="37"/>
      <c r="B344" s="37"/>
      <c r="C344" s="37"/>
      <c r="D344" s="37"/>
      <c r="E344" s="37"/>
      <c r="F344" s="36"/>
      <c r="G344" s="37"/>
      <c r="H344" s="37"/>
      <c r="I344" s="78"/>
      <c r="J344" s="78"/>
      <c r="K344" s="38"/>
      <c r="L344" s="35"/>
      <c r="M344" s="453"/>
      <c r="N344" s="37"/>
      <c r="O344" s="37"/>
      <c r="P344" s="37"/>
      <c r="Q344" s="37"/>
      <c r="R344" s="37"/>
      <c r="S344" s="37"/>
      <c r="T344" s="37"/>
      <c r="U344" s="37"/>
      <c r="V344" s="37"/>
      <c r="W344" s="37"/>
      <c r="X344" s="37"/>
      <c r="Y344" s="37"/>
      <c r="Z344" s="37"/>
      <c r="AA344" s="37"/>
    </row>
    <row r="345" spans="1:27">
      <c r="A345" s="37"/>
      <c r="B345" s="37"/>
      <c r="C345" s="37"/>
      <c r="D345" s="37"/>
      <c r="E345" s="37"/>
      <c r="F345" s="36"/>
      <c r="G345" s="37"/>
      <c r="H345" s="37"/>
      <c r="I345" s="78"/>
      <c r="J345" s="78"/>
      <c r="K345" s="38"/>
      <c r="L345" s="35"/>
      <c r="M345" s="453"/>
      <c r="N345" s="37"/>
      <c r="O345" s="37"/>
      <c r="P345" s="37"/>
      <c r="Q345" s="37"/>
      <c r="R345" s="37"/>
      <c r="S345" s="37"/>
      <c r="T345" s="37"/>
      <c r="U345" s="37"/>
      <c r="V345" s="37"/>
      <c r="W345" s="37"/>
      <c r="X345" s="37"/>
      <c r="Y345" s="37"/>
      <c r="Z345" s="37"/>
      <c r="AA345" s="37"/>
    </row>
    <row r="346" spans="1:27">
      <c r="A346" s="37"/>
      <c r="B346" s="37"/>
      <c r="C346" s="37"/>
      <c r="D346" s="37"/>
      <c r="E346" s="37"/>
      <c r="F346" s="36"/>
      <c r="G346" s="37"/>
      <c r="H346" s="37"/>
      <c r="I346" s="78"/>
      <c r="J346" s="78"/>
      <c r="K346" s="38"/>
      <c r="L346" s="35"/>
      <c r="M346" s="453"/>
      <c r="N346" s="37"/>
      <c r="O346" s="37"/>
      <c r="P346" s="37"/>
      <c r="Q346" s="37"/>
      <c r="R346" s="37"/>
      <c r="S346" s="37"/>
      <c r="T346" s="37"/>
      <c r="U346" s="37"/>
      <c r="V346" s="37"/>
      <c r="W346" s="37"/>
      <c r="X346" s="37"/>
      <c r="Y346" s="37"/>
      <c r="Z346" s="37"/>
      <c r="AA346" s="37"/>
    </row>
    <row r="347" spans="1:27">
      <c r="A347" s="37"/>
      <c r="B347" s="37"/>
      <c r="C347" s="37"/>
      <c r="D347" s="37"/>
      <c r="E347" s="37"/>
      <c r="F347" s="36"/>
      <c r="G347" s="37"/>
      <c r="H347" s="37"/>
      <c r="I347" s="78"/>
      <c r="J347" s="78"/>
      <c r="K347" s="38"/>
      <c r="L347" s="35"/>
      <c r="M347" s="453"/>
      <c r="N347" s="37"/>
      <c r="O347" s="37"/>
      <c r="P347" s="37"/>
      <c r="Q347" s="37"/>
      <c r="R347" s="37"/>
      <c r="S347" s="37"/>
      <c r="T347" s="37"/>
      <c r="U347" s="37"/>
      <c r="V347" s="37"/>
      <c r="W347" s="37"/>
      <c r="X347" s="37"/>
      <c r="Y347" s="37"/>
      <c r="Z347" s="37"/>
      <c r="AA347" s="37"/>
    </row>
    <row r="348" spans="1:27">
      <c r="A348" s="37"/>
      <c r="B348" s="37"/>
      <c r="C348" s="37"/>
      <c r="D348" s="37"/>
      <c r="E348" s="37"/>
      <c r="F348" s="36"/>
      <c r="G348" s="37"/>
      <c r="H348" s="37"/>
      <c r="I348" s="78"/>
      <c r="J348" s="78"/>
      <c r="K348" s="38"/>
      <c r="L348" s="35"/>
      <c r="M348" s="453"/>
      <c r="N348" s="37"/>
      <c r="O348" s="37"/>
      <c r="P348" s="37"/>
      <c r="Q348" s="37"/>
      <c r="R348" s="37"/>
      <c r="S348" s="37"/>
      <c r="T348" s="37"/>
      <c r="U348" s="37"/>
      <c r="V348" s="37"/>
      <c r="W348" s="37"/>
      <c r="X348" s="37"/>
      <c r="Y348" s="37"/>
      <c r="Z348" s="37"/>
      <c r="AA348" s="37"/>
    </row>
    <row r="349" spans="1:27">
      <c r="A349" s="37"/>
      <c r="B349" s="37"/>
      <c r="C349" s="37"/>
      <c r="D349" s="37"/>
      <c r="E349" s="37"/>
      <c r="F349" s="36"/>
      <c r="G349" s="37"/>
      <c r="H349" s="37"/>
      <c r="I349" s="78"/>
      <c r="J349" s="78"/>
      <c r="K349" s="38"/>
      <c r="L349" s="35"/>
      <c r="M349" s="453"/>
      <c r="N349" s="37"/>
      <c r="O349" s="37"/>
      <c r="P349" s="37"/>
      <c r="Q349" s="37"/>
      <c r="R349" s="37"/>
      <c r="S349" s="37"/>
      <c r="T349" s="37"/>
      <c r="U349" s="37"/>
      <c r="V349" s="37"/>
      <c r="W349" s="37"/>
      <c r="X349" s="37"/>
      <c r="Y349" s="37"/>
      <c r="Z349" s="37"/>
      <c r="AA349" s="37"/>
    </row>
    <row r="350" spans="1:27">
      <c r="A350" s="37"/>
      <c r="B350" s="37"/>
      <c r="C350" s="37"/>
      <c r="D350" s="37"/>
      <c r="E350" s="37"/>
      <c r="F350" s="36"/>
      <c r="G350" s="37"/>
      <c r="H350" s="37"/>
      <c r="I350" s="78"/>
      <c r="J350" s="78"/>
      <c r="K350" s="38"/>
      <c r="L350" s="35"/>
      <c r="M350" s="453"/>
      <c r="N350" s="37"/>
      <c r="O350" s="37"/>
      <c r="P350" s="37"/>
      <c r="Q350" s="37"/>
      <c r="R350" s="37"/>
      <c r="S350" s="37"/>
      <c r="T350" s="37"/>
      <c r="U350" s="37"/>
      <c r="V350" s="37"/>
      <c r="W350" s="37"/>
      <c r="X350" s="37"/>
      <c r="Y350" s="37"/>
      <c r="Z350" s="37"/>
      <c r="AA350" s="37"/>
    </row>
    <row r="351" spans="1:27">
      <c r="A351" s="37"/>
      <c r="B351" s="37"/>
      <c r="C351" s="37"/>
      <c r="D351" s="37"/>
      <c r="E351" s="37"/>
      <c r="F351" s="36"/>
      <c r="G351" s="37"/>
      <c r="H351" s="37"/>
      <c r="I351" s="78"/>
      <c r="J351" s="78"/>
      <c r="K351" s="38"/>
      <c r="L351" s="35"/>
      <c r="M351" s="453"/>
      <c r="N351" s="37"/>
      <c r="O351" s="37"/>
      <c r="P351" s="37"/>
      <c r="Q351" s="37"/>
      <c r="R351" s="37"/>
      <c r="S351" s="37"/>
      <c r="T351" s="37"/>
      <c r="U351" s="37"/>
      <c r="V351" s="37"/>
      <c r="W351" s="37"/>
      <c r="X351" s="37"/>
      <c r="Y351" s="37"/>
      <c r="Z351" s="37"/>
      <c r="AA351" s="37"/>
    </row>
    <row r="352" spans="1:27">
      <c r="A352" s="37"/>
      <c r="B352" s="37"/>
      <c r="C352" s="37"/>
      <c r="D352" s="37"/>
      <c r="E352" s="37"/>
      <c r="F352" s="36"/>
      <c r="G352" s="37"/>
      <c r="H352" s="37"/>
      <c r="I352" s="78"/>
      <c r="J352" s="78"/>
      <c r="K352" s="38"/>
      <c r="L352" s="35"/>
      <c r="M352" s="453"/>
      <c r="N352" s="37"/>
      <c r="O352" s="37"/>
      <c r="P352" s="37"/>
      <c r="Q352" s="37"/>
      <c r="R352" s="37"/>
      <c r="S352" s="37"/>
      <c r="T352" s="37"/>
      <c r="U352" s="37"/>
      <c r="V352" s="37"/>
      <c r="W352" s="37"/>
      <c r="X352" s="37"/>
      <c r="Y352" s="37"/>
      <c r="Z352" s="37"/>
      <c r="AA352" s="37"/>
    </row>
    <row r="353" spans="1:27">
      <c r="A353" s="37"/>
      <c r="B353" s="37"/>
      <c r="C353" s="37"/>
      <c r="D353" s="37"/>
      <c r="E353" s="37"/>
      <c r="F353" s="36"/>
      <c r="G353" s="37"/>
      <c r="H353" s="37"/>
      <c r="I353" s="78"/>
      <c r="J353" s="78"/>
      <c r="K353" s="38"/>
      <c r="L353" s="35"/>
      <c r="M353" s="453"/>
      <c r="N353" s="37"/>
      <c r="O353" s="37"/>
      <c r="P353" s="37"/>
      <c r="Q353" s="37"/>
      <c r="R353" s="37"/>
      <c r="S353" s="37"/>
      <c r="T353" s="37"/>
      <c r="U353" s="37"/>
      <c r="V353" s="37"/>
      <c r="W353" s="37"/>
      <c r="X353" s="37"/>
      <c r="Y353" s="37"/>
      <c r="Z353" s="37"/>
      <c r="AA353" s="37"/>
    </row>
    <row r="354" spans="1:27">
      <c r="A354" s="37"/>
      <c r="B354" s="37"/>
      <c r="C354" s="37"/>
      <c r="D354" s="37"/>
      <c r="E354" s="37"/>
      <c r="F354" s="36"/>
      <c r="G354" s="37"/>
      <c r="H354" s="37"/>
      <c r="I354" s="78"/>
      <c r="J354" s="78"/>
      <c r="K354" s="38"/>
      <c r="L354" s="35"/>
      <c r="M354" s="453"/>
      <c r="N354" s="37"/>
      <c r="O354" s="37"/>
      <c r="P354" s="37"/>
      <c r="Q354" s="37"/>
      <c r="R354" s="37"/>
      <c r="S354" s="37"/>
      <c r="T354" s="37"/>
      <c r="U354" s="37"/>
      <c r="V354" s="37"/>
      <c r="W354" s="37"/>
      <c r="X354" s="37"/>
      <c r="Y354" s="37"/>
      <c r="Z354" s="37"/>
      <c r="AA354" s="37"/>
    </row>
    <row r="355" spans="1:27">
      <c r="A355" s="37"/>
      <c r="B355" s="37"/>
      <c r="C355" s="37"/>
      <c r="D355" s="37"/>
      <c r="E355" s="37"/>
      <c r="F355" s="36"/>
      <c r="G355" s="37"/>
      <c r="H355" s="37"/>
      <c r="I355" s="78"/>
      <c r="J355" s="78"/>
      <c r="K355" s="38"/>
      <c r="L355" s="35"/>
      <c r="M355" s="453"/>
      <c r="N355" s="37"/>
      <c r="O355" s="37"/>
      <c r="P355" s="37"/>
      <c r="Q355" s="37"/>
      <c r="R355" s="37"/>
      <c r="S355" s="37"/>
      <c r="T355" s="37"/>
      <c r="U355" s="37"/>
      <c r="V355" s="37"/>
      <c r="W355" s="37"/>
      <c r="X355" s="37"/>
      <c r="Y355" s="37"/>
      <c r="Z355" s="37"/>
      <c r="AA355" s="37"/>
    </row>
    <row r="356" spans="1:27">
      <c r="A356" s="37"/>
      <c r="B356" s="37"/>
      <c r="C356" s="37"/>
      <c r="D356" s="37"/>
      <c r="E356" s="37"/>
      <c r="F356" s="36"/>
      <c r="G356" s="37"/>
      <c r="H356" s="37"/>
      <c r="I356" s="78"/>
      <c r="J356" s="78"/>
      <c r="K356" s="38"/>
      <c r="L356" s="35"/>
      <c r="M356" s="453"/>
      <c r="N356" s="37"/>
      <c r="O356" s="37"/>
      <c r="P356" s="37"/>
      <c r="Q356" s="37"/>
      <c r="R356" s="37"/>
      <c r="S356" s="37"/>
      <c r="T356" s="37"/>
      <c r="U356" s="37"/>
      <c r="V356" s="37"/>
      <c r="W356" s="37"/>
      <c r="X356" s="37"/>
      <c r="Y356" s="37"/>
      <c r="Z356" s="37"/>
      <c r="AA356" s="37"/>
    </row>
    <row r="357" spans="1:27">
      <c r="A357" s="37"/>
      <c r="B357" s="37"/>
      <c r="C357" s="37"/>
      <c r="D357" s="37"/>
      <c r="E357" s="37"/>
      <c r="F357" s="36"/>
      <c r="G357" s="37"/>
      <c r="H357" s="37"/>
      <c r="I357" s="78"/>
      <c r="J357" s="78"/>
      <c r="K357" s="38"/>
      <c r="L357" s="35"/>
      <c r="M357" s="453"/>
      <c r="N357" s="37"/>
      <c r="O357" s="37"/>
      <c r="P357" s="37"/>
      <c r="Q357" s="37"/>
      <c r="R357" s="37"/>
      <c r="S357" s="37"/>
      <c r="T357" s="37"/>
      <c r="U357" s="37"/>
      <c r="V357" s="37"/>
      <c r="W357" s="37"/>
      <c r="X357" s="37"/>
      <c r="Y357" s="37"/>
      <c r="Z357" s="37"/>
      <c r="AA357" s="37"/>
    </row>
    <row r="358" spans="1:27">
      <c r="A358" s="37"/>
      <c r="B358" s="37"/>
      <c r="C358" s="37"/>
      <c r="D358" s="37"/>
      <c r="E358" s="37"/>
      <c r="F358" s="36"/>
      <c r="G358" s="37"/>
      <c r="H358" s="37"/>
      <c r="I358" s="78"/>
      <c r="J358" s="78"/>
      <c r="K358" s="38"/>
      <c r="L358" s="35"/>
      <c r="M358" s="453"/>
      <c r="N358" s="37"/>
      <c r="O358" s="37"/>
      <c r="P358" s="37"/>
      <c r="Q358" s="37"/>
      <c r="R358" s="37"/>
      <c r="S358" s="37"/>
      <c r="T358" s="37"/>
      <c r="U358" s="37"/>
      <c r="V358" s="37"/>
      <c r="W358" s="37"/>
      <c r="X358" s="37"/>
      <c r="Y358" s="37"/>
      <c r="Z358" s="37"/>
      <c r="AA358" s="37"/>
    </row>
    <row r="359" spans="1:27">
      <c r="A359" s="37"/>
      <c r="B359" s="37"/>
      <c r="C359" s="37"/>
      <c r="D359" s="37"/>
      <c r="E359" s="37"/>
      <c r="F359" s="36"/>
      <c r="G359" s="37"/>
      <c r="H359" s="37"/>
      <c r="I359" s="78"/>
      <c r="J359" s="78"/>
      <c r="K359" s="38"/>
      <c r="L359" s="35"/>
      <c r="M359" s="453"/>
      <c r="N359" s="37"/>
      <c r="O359" s="37"/>
      <c r="P359" s="37"/>
      <c r="Q359" s="37"/>
      <c r="R359" s="37"/>
      <c r="S359" s="37"/>
      <c r="T359" s="37"/>
      <c r="U359" s="37"/>
      <c r="V359" s="37"/>
      <c r="W359" s="37"/>
      <c r="X359" s="37"/>
      <c r="Y359" s="37"/>
      <c r="Z359" s="37"/>
      <c r="AA359" s="37"/>
    </row>
    <row r="360" spans="1:27">
      <c r="A360" s="37"/>
      <c r="B360" s="37"/>
      <c r="C360" s="37"/>
      <c r="D360" s="37"/>
      <c r="E360" s="37"/>
      <c r="F360" s="36"/>
      <c r="G360" s="37"/>
      <c r="H360" s="37"/>
      <c r="I360" s="78"/>
      <c r="J360" s="78"/>
      <c r="K360" s="38"/>
      <c r="L360" s="35"/>
      <c r="M360" s="453"/>
      <c r="N360" s="37"/>
      <c r="O360" s="37"/>
      <c r="P360" s="37"/>
      <c r="Q360" s="37"/>
      <c r="R360" s="37"/>
      <c r="S360" s="37"/>
      <c r="T360" s="37"/>
      <c r="U360" s="37"/>
      <c r="V360" s="37"/>
      <c r="W360" s="37"/>
      <c r="X360" s="37"/>
      <c r="Y360" s="37"/>
      <c r="Z360" s="37"/>
      <c r="AA360" s="37"/>
    </row>
    <row r="361" spans="1:27">
      <c r="A361" s="37"/>
      <c r="B361" s="37"/>
      <c r="C361" s="37"/>
      <c r="D361" s="37"/>
      <c r="E361" s="37"/>
      <c r="F361" s="36"/>
      <c r="G361" s="37"/>
      <c r="H361" s="37"/>
      <c r="I361" s="78"/>
      <c r="J361" s="78"/>
      <c r="K361" s="38"/>
      <c r="L361" s="35"/>
      <c r="M361" s="453"/>
      <c r="N361" s="37"/>
      <c r="O361" s="37"/>
      <c r="P361" s="37"/>
      <c r="Q361" s="37"/>
      <c r="R361" s="37"/>
      <c r="S361" s="37"/>
      <c r="T361" s="37"/>
      <c r="U361" s="37"/>
      <c r="V361" s="37"/>
      <c r="W361" s="37"/>
      <c r="X361" s="37"/>
      <c r="Y361" s="37"/>
      <c r="Z361" s="37"/>
      <c r="AA361" s="37"/>
    </row>
    <row r="362" spans="1:27">
      <c r="A362" s="37"/>
      <c r="B362" s="37"/>
      <c r="C362" s="37"/>
      <c r="D362" s="37"/>
      <c r="E362" s="37"/>
      <c r="F362" s="36"/>
      <c r="G362" s="37"/>
      <c r="H362" s="37"/>
      <c r="I362" s="78"/>
      <c r="J362" s="78"/>
      <c r="K362" s="38"/>
      <c r="L362" s="35"/>
      <c r="M362" s="453"/>
      <c r="N362" s="37"/>
      <c r="O362" s="37"/>
      <c r="P362" s="37"/>
      <c r="Q362" s="37"/>
      <c r="R362" s="37"/>
      <c r="S362" s="37"/>
      <c r="T362" s="37"/>
      <c r="U362" s="37"/>
      <c r="V362" s="37"/>
      <c r="W362" s="37"/>
      <c r="X362" s="37"/>
      <c r="Y362" s="37"/>
      <c r="Z362" s="37"/>
      <c r="AA362" s="37"/>
    </row>
    <row r="363" spans="1:27">
      <c r="A363" s="37"/>
      <c r="B363" s="37"/>
      <c r="C363" s="37"/>
      <c r="D363" s="37"/>
      <c r="E363" s="37"/>
      <c r="F363" s="36"/>
      <c r="G363" s="37"/>
      <c r="H363" s="37"/>
      <c r="I363" s="78"/>
      <c r="J363" s="78"/>
      <c r="K363" s="38"/>
      <c r="L363" s="35"/>
      <c r="M363" s="453"/>
      <c r="N363" s="37"/>
      <c r="O363" s="37"/>
      <c r="P363" s="37"/>
      <c r="Q363" s="37"/>
      <c r="R363" s="37"/>
      <c r="S363" s="37"/>
      <c r="T363" s="37"/>
      <c r="U363" s="37"/>
      <c r="V363" s="37"/>
      <c r="W363" s="37"/>
      <c r="X363" s="37"/>
      <c r="Y363" s="37"/>
      <c r="Z363" s="37"/>
      <c r="AA363" s="37"/>
    </row>
    <row r="364" spans="1:27">
      <c r="A364" s="37"/>
      <c r="B364" s="37"/>
      <c r="C364" s="37"/>
      <c r="D364" s="37"/>
      <c r="E364" s="37"/>
      <c r="F364" s="36"/>
      <c r="G364" s="37"/>
      <c r="H364" s="37"/>
      <c r="I364" s="78"/>
      <c r="J364" s="78"/>
      <c r="K364" s="38"/>
      <c r="L364" s="35"/>
      <c r="M364" s="453"/>
      <c r="N364" s="37"/>
      <c r="O364" s="37"/>
      <c r="P364" s="37"/>
      <c r="Q364" s="37"/>
      <c r="R364" s="37"/>
      <c r="S364" s="37"/>
      <c r="T364" s="37"/>
      <c r="U364" s="37"/>
      <c r="V364" s="37"/>
      <c r="W364" s="37"/>
      <c r="X364" s="37"/>
      <c r="Y364" s="37"/>
      <c r="Z364" s="37"/>
      <c r="AA364" s="37"/>
    </row>
    <row r="365" spans="1:27">
      <c r="A365" s="37"/>
      <c r="B365" s="37"/>
      <c r="C365" s="37"/>
      <c r="D365" s="37"/>
      <c r="E365" s="37"/>
      <c r="F365" s="36"/>
      <c r="G365" s="37"/>
      <c r="H365" s="37"/>
      <c r="I365" s="78"/>
      <c r="J365" s="78"/>
      <c r="K365" s="38"/>
      <c r="L365" s="35"/>
      <c r="M365" s="453"/>
      <c r="N365" s="37"/>
      <c r="O365" s="37"/>
      <c r="P365" s="37"/>
      <c r="Q365" s="37"/>
      <c r="R365" s="37"/>
      <c r="S365" s="37"/>
      <c r="T365" s="37"/>
      <c r="U365" s="37"/>
      <c r="V365" s="37"/>
      <c r="W365" s="37"/>
      <c r="X365" s="37"/>
      <c r="Y365" s="37"/>
      <c r="Z365" s="37"/>
      <c r="AA365" s="37"/>
    </row>
    <row r="366" spans="1:27">
      <c r="A366" s="37"/>
      <c r="B366" s="37"/>
      <c r="C366" s="37"/>
      <c r="D366" s="37"/>
      <c r="E366" s="37"/>
      <c r="F366" s="36"/>
      <c r="G366" s="37"/>
      <c r="H366" s="37"/>
      <c r="I366" s="78"/>
      <c r="J366" s="78"/>
      <c r="K366" s="38"/>
      <c r="L366" s="35"/>
      <c r="M366" s="453"/>
      <c r="N366" s="37"/>
      <c r="O366" s="37"/>
      <c r="P366" s="37"/>
      <c r="Q366" s="37"/>
      <c r="R366" s="37"/>
      <c r="S366" s="37"/>
      <c r="T366" s="37"/>
      <c r="U366" s="37"/>
      <c r="V366" s="37"/>
      <c r="W366" s="37"/>
      <c r="X366" s="37"/>
      <c r="Y366" s="37"/>
      <c r="Z366" s="37"/>
      <c r="AA366" s="37"/>
    </row>
    <row r="367" spans="1:27">
      <c r="A367" s="37"/>
      <c r="B367" s="37"/>
      <c r="C367" s="37"/>
      <c r="D367" s="37"/>
      <c r="E367" s="37"/>
      <c r="F367" s="36"/>
      <c r="G367" s="37"/>
      <c r="H367" s="37"/>
      <c r="I367" s="78"/>
      <c r="J367" s="78"/>
      <c r="K367" s="38"/>
      <c r="L367" s="35"/>
      <c r="M367" s="453"/>
      <c r="N367" s="37"/>
      <c r="O367" s="37"/>
      <c r="P367" s="37"/>
      <c r="Q367" s="37"/>
      <c r="R367" s="37"/>
      <c r="S367" s="37"/>
      <c r="T367" s="37"/>
      <c r="U367" s="37"/>
      <c r="V367" s="37"/>
      <c r="W367" s="37"/>
      <c r="X367" s="37"/>
      <c r="Y367" s="37"/>
      <c r="Z367" s="37"/>
      <c r="AA367" s="37"/>
    </row>
    <row r="368" spans="1:27">
      <c r="A368" s="37"/>
      <c r="B368" s="37"/>
      <c r="C368" s="37"/>
      <c r="D368" s="37"/>
      <c r="E368" s="37"/>
      <c r="F368" s="36"/>
      <c r="G368" s="37"/>
      <c r="H368" s="37"/>
      <c r="I368" s="78"/>
      <c r="J368" s="78"/>
      <c r="K368" s="38"/>
      <c r="L368" s="35"/>
      <c r="M368" s="453"/>
      <c r="N368" s="37"/>
      <c r="O368" s="37"/>
      <c r="P368" s="37"/>
      <c r="Q368" s="37"/>
      <c r="R368" s="37"/>
      <c r="S368" s="37"/>
      <c r="T368" s="37"/>
      <c r="U368" s="37"/>
      <c r="V368" s="37"/>
      <c r="W368" s="37"/>
      <c r="X368" s="37"/>
      <c r="Y368" s="37"/>
      <c r="Z368" s="37"/>
      <c r="AA368" s="37"/>
    </row>
    <row r="369" spans="1:27">
      <c r="A369" s="37"/>
      <c r="B369" s="37"/>
      <c r="C369" s="37"/>
      <c r="D369" s="37"/>
      <c r="E369" s="37"/>
      <c r="F369" s="36"/>
      <c r="G369" s="37"/>
      <c r="H369" s="37"/>
      <c r="I369" s="78"/>
      <c r="J369" s="78"/>
      <c r="K369" s="38"/>
      <c r="L369" s="35"/>
      <c r="M369" s="453"/>
      <c r="N369" s="37"/>
      <c r="O369" s="37"/>
      <c r="P369" s="37"/>
      <c r="Q369" s="37"/>
      <c r="R369" s="37"/>
      <c r="S369" s="37"/>
      <c r="T369" s="37"/>
      <c r="U369" s="37"/>
      <c r="V369" s="37"/>
      <c r="W369" s="37"/>
      <c r="X369" s="37"/>
      <c r="Y369" s="37"/>
      <c r="Z369" s="37"/>
      <c r="AA369" s="37"/>
    </row>
    <row r="370" spans="1:27">
      <c r="A370" s="37"/>
      <c r="B370" s="37"/>
      <c r="C370" s="37"/>
      <c r="D370" s="37"/>
      <c r="E370" s="37"/>
      <c r="F370" s="36"/>
      <c r="G370" s="37"/>
      <c r="H370" s="37"/>
      <c r="I370" s="78"/>
      <c r="J370" s="78"/>
      <c r="K370" s="38"/>
      <c r="L370" s="35"/>
      <c r="M370" s="453"/>
      <c r="N370" s="37"/>
      <c r="O370" s="37"/>
      <c r="P370" s="37"/>
      <c r="Q370" s="37"/>
      <c r="R370" s="37"/>
      <c r="S370" s="37"/>
      <c r="T370" s="37"/>
      <c r="U370" s="37"/>
      <c r="V370" s="37"/>
      <c r="W370" s="37"/>
      <c r="X370" s="37"/>
      <c r="Y370" s="37"/>
      <c r="Z370" s="37"/>
      <c r="AA370" s="37"/>
    </row>
    <row r="371" spans="1:27">
      <c r="A371" s="37"/>
      <c r="B371" s="37"/>
      <c r="C371" s="37"/>
      <c r="D371" s="37"/>
      <c r="E371" s="37"/>
      <c r="F371" s="36"/>
      <c r="G371" s="37"/>
      <c r="H371" s="37"/>
      <c r="I371" s="78"/>
      <c r="J371" s="78"/>
      <c r="K371" s="38"/>
      <c r="L371" s="35"/>
      <c r="M371" s="453"/>
      <c r="N371" s="37"/>
      <c r="O371" s="37"/>
      <c r="P371" s="37"/>
      <c r="Q371" s="37"/>
      <c r="R371" s="37"/>
      <c r="S371" s="37"/>
      <c r="T371" s="37"/>
      <c r="U371" s="37"/>
      <c r="V371" s="37"/>
      <c r="W371" s="37"/>
      <c r="X371" s="37"/>
      <c r="Y371" s="37"/>
      <c r="Z371" s="37"/>
      <c r="AA371" s="37"/>
    </row>
    <row r="372" spans="1:27">
      <c r="A372" s="37"/>
      <c r="B372" s="37"/>
      <c r="C372" s="37"/>
      <c r="D372" s="37"/>
      <c r="E372" s="37"/>
      <c r="F372" s="36"/>
      <c r="G372" s="37"/>
      <c r="H372" s="37"/>
      <c r="I372" s="78"/>
      <c r="J372" s="78"/>
      <c r="K372" s="38"/>
      <c r="L372" s="35"/>
      <c r="M372" s="453"/>
      <c r="N372" s="37"/>
      <c r="O372" s="37"/>
      <c r="P372" s="37"/>
      <c r="Q372" s="37"/>
      <c r="R372" s="37"/>
      <c r="S372" s="37"/>
      <c r="T372" s="37"/>
      <c r="U372" s="37"/>
      <c r="V372" s="37"/>
      <c r="W372" s="37"/>
      <c r="X372" s="37"/>
      <c r="Y372" s="37"/>
      <c r="Z372" s="37"/>
      <c r="AA372" s="37"/>
    </row>
    <row r="373" spans="1:27">
      <c r="A373" s="37"/>
      <c r="B373" s="37"/>
      <c r="C373" s="37"/>
      <c r="D373" s="37"/>
      <c r="E373" s="37"/>
      <c r="F373" s="36"/>
      <c r="G373" s="37"/>
      <c r="H373" s="37"/>
      <c r="I373" s="78"/>
      <c r="J373" s="78"/>
      <c r="K373" s="38"/>
      <c r="L373" s="35"/>
      <c r="M373" s="453"/>
      <c r="N373" s="37"/>
      <c r="O373" s="37"/>
      <c r="P373" s="37"/>
      <c r="Q373" s="37"/>
      <c r="R373" s="37"/>
      <c r="S373" s="37"/>
      <c r="T373" s="37"/>
      <c r="U373" s="37"/>
      <c r="V373" s="37"/>
      <c r="W373" s="37"/>
      <c r="X373" s="37"/>
      <c r="Y373" s="37"/>
      <c r="Z373" s="37"/>
      <c r="AA373" s="37"/>
    </row>
    <row r="374" spans="1:27">
      <c r="A374" s="37"/>
      <c r="B374" s="37"/>
      <c r="C374" s="37"/>
      <c r="D374" s="37"/>
      <c r="E374" s="37"/>
      <c r="F374" s="36"/>
      <c r="G374" s="37"/>
      <c r="H374" s="37"/>
      <c r="I374" s="78"/>
      <c r="J374" s="78"/>
      <c r="K374" s="38"/>
      <c r="L374" s="35"/>
      <c r="M374" s="453"/>
      <c r="N374" s="37"/>
      <c r="O374" s="37"/>
      <c r="P374" s="37"/>
      <c r="Q374" s="37"/>
      <c r="R374" s="37"/>
      <c r="S374" s="37"/>
      <c r="T374" s="37"/>
      <c r="U374" s="37"/>
      <c r="V374" s="37"/>
      <c r="W374" s="37"/>
      <c r="X374" s="37"/>
      <c r="Y374" s="37"/>
      <c r="Z374" s="37"/>
      <c r="AA374" s="37"/>
    </row>
    <row r="375" spans="1:27">
      <c r="A375" s="37"/>
      <c r="B375" s="37"/>
      <c r="C375" s="37"/>
      <c r="D375" s="37"/>
      <c r="E375" s="37"/>
      <c r="F375" s="36"/>
      <c r="G375" s="37"/>
      <c r="H375" s="37"/>
      <c r="I375" s="78"/>
      <c r="J375" s="78"/>
      <c r="K375" s="38"/>
      <c r="L375" s="35"/>
      <c r="M375" s="453"/>
      <c r="N375" s="37"/>
      <c r="O375" s="37"/>
      <c r="P375" s="37"/>
      <c r="Q375" s="37"/>
      <c r="R375" s="37"/>
      <c r="S375" s="37"/>
      <c r="T375" s="37"/>
      <c r="U375" s="37"/>
      <c r="V375" s="37"/>
      <c r="W375" s="37"/>
      <c r="X375" s="37"/>
      <c r="Y375" s="37"/>
      <c r="Z375" s="37"/>
      <c r="AA375" s="37"/>
    </row>
    <row r="376" spans="1:27">
      <c r="A376" s="37"/>
      <c r="B376" s="37"/>
      <c r="C376" s="37"/>
      <c r="D376" s="37"/>
      <c r="E376" s="37"/>
      <c r="F376" s="36"/>
      <c r="G376" s="37"/>
      <c r="H376" s="37"/>
      <c r="I376" s="78"/>
      <c r="J376" s="78"/>
      <c r="K376" s="38"/>
      <c r="L376" s="35"/>
      <c r="M376" s="453"/>
      <c r="N376" s="37"/>
      <c r="O376" s="37"/>
      <c r="P376" s="37"/>
      <c r="Q376" s="37"/>
      <c r="R376" s="37"/>
      <c r="S376" s="37"/>
      <c r="T376" s="37"/>
      <c r="U376" s="37"/>
      <c r="V376" s="37"/>
      <c r="W376" s="37"/>
      <c r="X376" s="37"/>
      <c r="Y376" s="37"/>
      <c r="Z376" s="37"/>
      <c r="AA376" s="37"/>
    </row>
    <row r="377" spans="1:27">
      <c r="A377" s="37"/>
      <c r="B377" s="37"/>
      <c r="C377" s="37"/>
      <c r="D377" s="37"/>
      <c r="E377" s="37"/>
      <c r="F377" s="36"/>
      <c r="G377" s="37"/>
      <c r="H377" s="37"/>
      <c r="I377" s="78"/>
      <c r="J377" s="78"/>
      <c r="K377" s="38"/>
      <c r="L377" s="35"/>
      <c r="M377" s="453"/>
      <c r="N377" s="37"/>
      <c r="O377" s="37"/>
      <c r="P377" s="37"/>
      <c r="Q377" s="37"/>
      <c r="R377" s="37"/>
      <c r="S377" s="37"/>
      <c r="T377" s="37"/>
      <c r="U377" s="37"/>
      <c r="V377" s="37"/>
      <c r="W377" s="37"/>
      <c r="X377" s="37"/>
      <c r="Y377" s="37"/>
      <c r="Z377" s="37"/>
      <c r="AA377" s="37"/>
    </row>
    <row r="378" spans="1:27">
      <c r="A378" s="37"/>
      <c r="B378" s="37"/>
      <c r="C378" s="37"/>
      <c r="D378" s="37"/>
      <c r="E378" s="37"/>
      <c r="F378" s="36"/>
      <c r="G378" s="37"/>
      <c r="H378" s="37"/>
      <c r="I378" s="78"/>
      <c r="J378" s="78"/>
      <c r="K378" s="38"/>
      <c r="L378" s="35"/>
      <c r="M378" s="453"/>
      <c r="N378" s="37"/>
      <c r="O378" s="37"/>
      <c r="P378" s="37"/>
      <c r="Q378" s="37"/>
      <c r="R378" s="37"/>
      <c r="S378" s="37"/>
      <c r="T378" s="37"/>
      <c r="U378" s="37"/>
      <c r="V378" s="37"/>
      <c r="W378" s="37"/>
      <c r="X378" s="37"/>
      <c r="Y378" s="37"/>
      <c r="Z378" s="37"/>
      <c r="AA378" s="37"/>
    </row>
    <row r="379" spans="1:27">
      <c r="A379" s="37"/>
      <c r="B379" s="37"/>
      <c r="C379" s="37"/>
      <c r="D379" s="37"/>
      <c r="E379" s="37"/>
      <c r="F379" s="36"/>
      <c r="G379" s="37"/>
      <c r="H379" s="37"/>
      <c r="I379" s="78"/>
      <c r="J379" s="78"/>
      <c r="K379" s="38"/>
      <c r="L379" s="35"/>
      <c r="M379" s="453"/>
      <c r="N379" s="37"/>
      <c r="O379" s="37"/>
      <c r="P379" s="37"/>
      <c r="Q379" s="37"/>
      <c r="R379" s="37"/>
      <c r="S379" s="37"/>
      <c r="T379" s="37"/>
      <c r="U379" s="37"/>
      <c r="V379" s="37"/>
      <c r="W379" s="37"/>
      <c r="X379" s="37"/>
      <c r="Y379" s="37"/>
      <c r="Z379" s="37"/>
      <c r="AA379" s="37"/>
    </row>
    <row r="380" spans="1:27">
      <c r="A380" s="37"/>
      <c r="B380" s="37"/>
      <c r="C380" s="37"/>
      <c r="D380" s="37"/>
      <c r="E380" s="37"/>
      <c r="F380" s="36"/>
      <c r="G380" s="37"/>
      <c r="H380" s="37"/>
      <c r="I380" s="78"/>
      <c r="J380" s="78"/>
      <c r="K380" s="38"/>
      <c r="L380" s="35"/>
      <c r="M380" s="453"/>
      <c r="N380" s="37"/>
      <c r="O380" s="37"/>
      <c r="P380" s="37"/>
      <c r="Q380" s="37"/>
      <c r="R380" s="37"/>
      <c r="S380" s="37"/>
      <c r="T380" s="37"/>
      <c r="U380" s="37"/>
      <c r="V380" s="37"/>
      <c r="W380" s="37"/>
      <c r="X380" s="37"/>
      <c r="Y380" s="37"/>
      <c r="Z380" s="37"/>
      <c r="AA380" s="37"/>
    </row>
    <row r="381" spans="1:27">
      <c r="A381" s="37"/>
      <c r="B381" s="37"/>
      <c r="C381" s="37"/>
      <c r="D381" s="37"/>
      <c r="E381" s="37"/>
      <c r="F381" s="36"/>
      <c r="G381" s="37"/>
      <c r="H381" s="37"/>
      <c r="I381" s="78"/>
      <c r="J381" s="78"/>
      <c r="K381" s="38"/>
      <c r="L381" s="35"/>
      <c r="M381" s="453"/>
      <c r="N381" s="37"/>
      <c r="O381" s="37"/>
      <c r="P381" s="37"/>
      <c r="Q381" s="37"/>
      <c r="R381" s="37"/>
      <c r="S381" s="37"/>
      <c r="T381" s="37"/>
      <c r="U381" s="37"/>
      <c r="V381" s="37"/>
      <c r="W381" s="37"/>
      <c r="X381" s="37"/>
      <c r="Y381" s="37"/>
      <c r="Z381" s="37"/>
      <c r="AA381" s="37"/>
    </row>
    <row r="382" spans="1:27">
      <c r="A382" s="37"/>
      <c r="B382" s="37"/>
      <c r="C382" s="37"/>
      <c r="D382" s="37"/>
      <c r="E382" s="37"/>
      <c r="F382" s="36"/>
      <c r="G382" s="37"/>
      <c r="H382" s="37"/>
      <c r="I382" s="78"/>
      <c r="J382" s="78"/>
      <c r="K382" s="38"/>
      <c r="L382" s="35"/>
      <c r="M382" s="453"/>
      <c r="N382" s="37"/>
      <c r="O382" s="37"/>
      <c r="P382" s="37"/>
      <c r="Q382" s="37"/>
      <c r="R382" s="37"/>
      <c r="S382" s="37"/>
      <c r="T382" s="37"/>
      <c r="U382" s="37"/>
      <c r="V382" s="37"/>
      <c r="W382" s="37"/>
      <c r="X382" s="37"/>
      <c r="Y382" s="37"/>
      <c r="Z382" s="37"/>
      <c r="AA382" s="37"/>
    </row>
    <row r="383" spans="1:27">
      <c r="A383" s="37"/>
      <c r="B383" s="37"/>
      <c r="C383" s="37"/>
      <c r="D383" s="37"/>
      <c r="E383" s="37"/>
      <c r="F383" s="36"/>
      <c r="G383" s="37"/>
      <c r="H383" s="37"/>
      <c r="I383" s="78"/>
      <c r="J383" s="78"/>
      <c r="K383" s="38"/>
      <c r="L383" s="35"/>
      <c r="M383" s="453"/>
      <c r="N383" s="37"/>
      <c r="O383" s="37"/>
      <c r="P383" s="37"/>
      <c r="Q383" s="37"/>
      <c r="R383" s="37"/>
      <c r="S383" s="37"/>
      <c r="T383" s="37"/>
      <c r="U383" s="37"/>
      <c r="V383" s="37"/>
      <c r="W383" s="37"/>
      <c r="X383" s="37"/>
      <c r="Y383" s="37"/>
      <c r="Z383" s="37"/>
      <c r="AA383" s="37"/>
    </row>
    <row r="384" spans="1:27">
      <c r="A384" s="37"/>
      <c r="B384" s="37"/>
      <c r="C384" s="37"/>
      <c r="D384" s="37"/>
      <c r="E384" s="37"/>
      <c r="F384" s="36"/>
      <c r="G384" s="37"/>
      <c r="H384" s="37"/>
      <c r="I384" s="78"/>
      <c r="J384" s="78"/>
      <c r="K384" s="38"/>
      <c r="L384" s="35"/>
      <c r="M384" s="453"/>
      <c r="N384" s="37"/>
      <c r="O384" s="37"/>
      <c r="P384" s="37"/>
      <c r="Q384" s="37"/>
      <c r="R384" s="37"/>
      <c r="S384" s="37"/>
      <c r="T384" s="37"/>
      <c r="U384" s="37"/>
      <c r="V384" s="37"/>
      <c r="W384" s="37"/>
      <c r="X384" s="37"/>
      <c r="Y384" s="37"/>
      <c r="Z384" s="37"/>
      <c r="AA384" s="37"/>
    </row>
    <row r="385" spans="1:27">
      <c r="A385" s="37"/>
      <c r="B385" s="37"/>
      <c r="C385" s="37"/>
      <c r="D385" s="37"/>
      <c r="E385" s="37"/>
      <c r="F385" s="36"/>
      <c r="G385" s="37"/>
      <c r="H385" s="37"/>
      <c r="I385" s="78"/>
      <c r="J385" s="78"/>
      <c r="K385" s="38"/>
      <c r="L385" s="35"/>
      <c r="M385" s="453"/>
      <c r="N385" s="37"/>
      <c r="O385" s="37"/>
      <c r="P385" s="37"/>
      <c r="Q385" s="37"/>
      <c r="R385" s="37"/>
      <c r="S385" s="37"/>
      <c r="T385" s="37"/>
      <c r="U385" s="37"/>
      <c r="V385" s="37"/>
      <c r="W385" s="37"/>
      <c r="X385" s="37"/>
      <c r="Y385" s="37"/>
      <c r="Z385" s="37"/>
      <c r="AA385" s="37"/>
    </row>
    <row r="386" spans="1:27">
      <c r="A386" s="37"/>
      <c r="B386" s="37"/>
      <c r="C386" s="37"/>
      <c r="D386" s="37"/>
      <c r="E386" s="37"/>
      <c r="F386" s="36"/>
      <c r="G386" s="37"/>
      <c r="H386" s="37"/>
      <c r="I386" s="78"/>
      <c r="J386" s="78"/>
      <c r="K386" s="38"/>
      <c r="L386" s="35"/>
      <c r="M386" s="453"/>
      <c r="N386" s="37"/>
      <c r="O386" s="37"/>
      <c r="P386" s="37"/>
      <c r="Q386" s="37"/>
      <c r="R386" s="37"/>
      <c r="S386" s="37"/>
      <c r="T386" s="37"/>
      <c r="U386" s="37"/>
      <c r="V386" s="37"/>
      <c r="W386" s="37"/>
      <c r="X386" s="37"/>
      <c r="Y386" s="37"/>
      <c r="Z386" s="37"/>
      <c r="AA386" s="37"/>
    </row>
    <row r="387" spans="1:27">
      <c r="A387" s="37"/>
      <c r="B387" s="37"/>
      <c r="C387" s="37"/>
      <c r="D387" s="37"/>
      <c r="E387" s="37"/>
      <c r="F387" s="36"/>
      <c r="G387" s="37"/>
      <c r="H387" s="37"/>
      <c r="I387" s="78"/>
      <c r="J387" s="78"/>
      <c r="K387" s="38"/>
      <c r="L387" s="35"/>
      <c r="M387" s="453"/>
      <c r="N387" s="37"/>
      <c r="O387" s="37"/>
      <c r="P387" s="37"/>
      <c r="Q387" s="37"/>
      <c r="R387" s="37"/>
      <c r="S387" s="37"/>
      <c r="T387" s="37"/>
      <c r="U387" s="37"/>
      <c r="V387" s="37"/>
      <c r="W387" s="37"/>
      <c r="X387" s="37"/>
      <c r="Y387" s="37"/>
      <c r="Z387" s="37"/>
      <c r="AA387" s="37"/>
    </row>
    <row r="388" spans="1:27">
      <c r="A388" s="37"/>
      <c r="B388" s="37"/>
      <c r="C388" s="37"/>
      <c r="D388" s="37"/>
      <c r="E388" s="37"/>
      <c r="F388" s="36"/>
      <c r="G388" s="37"/>
      <c r="H388" s="37"/>
      <c r="I388" s="78"/>
      <c r="J388" s="78"/>
      <c r="K388" s="38"/>
      <c r="L388" s="35"/>
      <c r="M388" s="453"/>
      <c r="N388" s="37"/>
      <c r="O388" s="37"/>
      <c r="P388" s="37"/>
      <c r="Q388" s="37"/>
      <c r="R388" s="37"/>
      <c r="S388" s="37"/>
      <c r="T388" s="37"/>
      <c r="U388" s="37"/>
      <c r="V388" s="37"/>
      <c r="W388" s="37"/>
      <c r="X388" s="37"/>
      <c r="Y388" s="37"/>
      <c r="Z388" s="37"/>
      <c r="AA388" s="37"/>
    </row>
    <row r="389" spans="1:27">
      <c r="A389" s="37"/>
      <c r="B389" s="37"/>
      <c r="C389" s="37"/>
      <c r="D389" s="37"/>
      <c r="E389" s="37"/>
      <c r="F389" s="36"/>
      <c r="G389" s="37"/>
      <c r="H389" s="37"/>
      <c r="I389" s="78"/>
      <c r="J389" s="78"/>
      <c r="K389" s="38"/>
      <c r="L389" s="35"/>
      <c r="M389" s="453"/>
      <c r="N389" s="37"/>
      <c r="O389" s="37"/>
      <c r="P389" s="37"/>
      <c r="Q389" s="37"/>
      <c r="R389" s="37"/>
      <c r="S389" s="37"/>
      <c r="T389" s="37"/>
      <c r="U389" s="37"/>
      <c r="V389" s="37"/>
      <c r="W389" s="37"/>
      <c r="X389" s="37"/>
      <c r="Y389" s="37"/>
      <c r="Z389" s="37"/>
      <c r="AA389" s="37"/>
    </row>
    <row r="390" spans="1:27">
      <c r="A390" s="37"/>
      <c r="B390" s="37"/>
      <c r="C390" s="37"/>
      <c r="D390" s="37"/>
      <c r="E390" s="37"/>
      <c r="F390" s="36"/>
      <c r="G390" s="37"/>
      <c r="H390" s="37"/>
      <c r="I390" s="78"/>
      <c r="J390" s="78"/>
      <c r="K390" s="38"/>
      <c r="L390" s="35"/>
      <c r="M390" s="453"/>
      <c r="N390" s="37"/>
      <c r="O390" s="37"/>
      <c r="P390" s="37"/>
      <c r="Q390" s="37"/>
      <c r="R390" s="37"/>
      <c r="S390" s="37"/>
      <c r="T390" s="37"/>
      <c r="U390" s="37"/>
      <c r="V390" s="37"/>
      <c r="W390" s="37"/>
      <c r="X390" s="37"/>
      <c r="Y390" s="37"/>
      <c r="Z390" s="37"/>
      <c r="AA390" s="37"/>
    </row>
    <row r="391" spans="1:27">
      <c r="A391" s="37"/>
      <c r="B391" s="37"/>
      <c r="C391" s="37"/>
      <c r="D391" s="37"/>
      <c r="E391" s="37"/>
      <c r="F391" s="36"/>
      <c r="G391" s="37"/>
      <c r="H391" s="37"/>
      <c r="I391" s="78"/>
      <c r="J391" s="78"/>
      <c r="K391" s="38"/>
      <c r="L391" s="35"/>
      <c r="M391" s="453"/>
      <c r="N391" s="37"/>
      <c r="O391" s="37"/>
      <c r="P391" s="37"/>
      <c r="Q391" s="37"/>
      <c r="R391" s="37"/>
      <c r="S391" s="37"/>
      <c r="T391" s="37"/>
      <c r="U391" s="37"/>
      <c r="V391" s="37"/>
      <c r="W391" s="37"/>
      <c r="X391" s="37"/>
      <c r="Y391" s="37"/>
      <c r="Z391" s="37"/>
      <c r="AA391" s="37"/>
    </row>
    <row r="392" spans="1:27">
      <c r="A392" s="37"/>
      <c r="B392" s="37"/>
      <c r="C392" s="37"/>
      <c r="D392" s="37"/>
      <c r="E392" s="37"/>
      <c r="F392" s="36"/>
      <c r="G392" s="37"/>
      <c r="H392" s="37"/>
      <c r="I392" s="78"/>
      <c r="J392" s="78"/>
      <c r="K392" s="38"/>
      <c r="L392" s="35"/>
      <c r="M392" s="453"/>
      <c r="N392" s="37"/>
      <c r="O392" s="37"/>
      <c r="P392" s="37"/>
      <c r="Q392" s="37"/>
      <c r="R392" s="37"/>
      <c r="S392" s="37"/>
      <c r="T392" s="37"/>
      <c r="U392" s="37"/>
      <c r="V392" s="37"/>
      <c r="W392" s="37"/>
      <c r="X392" s="37"/>
      <c r="Y392" s="37"/>
      <c r="Z392" s="37"/>
      <c r="AA392" s="37"/>
    </row>
    <row r="393" spans="1:27">
      <c r="A393" s="37"/>
      <c r="B393" s="37"/>
      <c r="C393" s="37"/>
      <c r="D393" s="37"/>
      <c r="E393" s="37"/>
      <c r="F393" s="36"/>
      <c r="G393" s="37"/>
      <c r="H393" s="37"/>
      <c r="I393" s="78"/>
      <c r="J393" s="78"/>
      <c r="K393" s="38"/>
      <c r="L393" s="35"/>
      <c r="M393" s="453"/>
      <c r="N393" s="37"/>
      <c r="O393" s="37"/>
      <c r="P393" s="37"/>
      <c r="Q393" s="37"/>
      <c r="R393" s="37"/>
      <c r="S393" s="37"/>
      <c r="T393" s="37"/>
      <c r="U393" s="37"/>
      <c r="V393" s="37"/>
      <c r="W393" s="37"/>
      <c r="X393" s="37"/>
      <c r="Y393" s="37"/>
      <c r="Z393" s="37"/>
      <c r="AA393" s="37"/>
    </row>
    <row r="394" spans="1:27">
      <c r="A394" s="37"/>
      <c r="B394" s="37"/>
      <c r="C394" s="37"/>
      <c r="D394" s="37"/>
      <c r="E394" s="37"/>
      <c r="F394" s="36"/>
      <c r="G394" s="37"/>
      <c r="H394" s="37"/>
      <c r="I394" s="78"/>
      <c r="J394" s="78"/>
      <c r="K394" s="38"/>
      <c r="L394" s="35"/>
      <c r="M394" s="453"/>
      <c r="N394" s="37"/>
      <c r="O394" s="37"/>
      <c r="P394" s="37"/>
      <c r="Q394" s="37"/>
      <c r="R394" s="37"/>
      <c r="S394" s="37"/>
      <c r="T394" s="37"/>
      <c r="U394" s="37"/>
      <c r="V394" s="37"/>
      <c r="W394" s="37"/>
      <c r="X394" s="37"/>
      <c r="Y394" s="37"/>
      <c r="Z394" s="37"/>
      <c r="AA394" s="37"/>
    </row>
    <row r="395" spans="1:27">
      <c r="A395" s="37"/>
      <c r="B395" s="37"/>
      <c r="C395" s="37"/>
      <c r="D395" s="37"/>
      <c r="E395" s="37"/>
      <c r="F395" s="36"/>
      <c r="G395" s="37"/>
      <c r="H395" s="37"/>
      <c r="I395" s="78"/>
      <c r="J395" s="78"/>
      <c r="K395" s="38"/>
      <c r="L395" s="35"/>
      <c r="M395" s="453"/>
      <c r="N395" s="37"/>
      <c r="O395" s="37"/>
      <c r="P395" s="37"/>
      <c r="Q395" s="37"/>
      <c r="R395" s="37"/>
      <c r="S395" s="37"/>
      <c r="T395" s="37"/>
      <c r="U395" s="37"/>
      <c r="V395" s="37"/>
      <c r="W395" s="37"/>
      <c r="X395" s="37"/>
      <c r="Y395" s="37"/>
      <c r="Z395" s="37"/>
      <c r="AA395" s="37"/>
    </row>
    <row r="396" spans="1:27">
      <c r="A396" s="37"/>
      <c r="B396" s="37"/>
      <c r="C396" s="37"/>
      <c r="D396" s="37"/>
      <c r="E396" s="37"/>
      <c r="F396" s="36"/>
      <c r="G396" s="37"/>
      <c r="H396" s="37"/>
      <c r="I396" s="78"/>
      <c r="J396" s="78"/>
      <c r="K396" s="38"/>
      <c r="L396" s="35"/>
      <c r="M396" s="453"/>
      <c r="N396" s="37"/>
      <c r="O396" s="37"/>
      <c r="P396" s="37"/>
      <c r="Q396" s="37"/>
      <c r="R396" s="37"/>
      <c r="S396" s="37"/>
      <c r="T396" s="37"/>
      <c r="U396" s="37"/>
      <c r="V396" s="37"/>
      <c r="W396" s="37"/>
      <c r="X396" s="37"/>
      <c r="Y396" s="37"/>
      <c r="Z396" s="37"/>
      <c r="AA396" s="37"/>
    </row>
    <row r="397" spans="1:27">
      <c r="A397" s="37"/>
      <c r="B397" s="37"/>
      <c r="C397" s="37"/>
      <c r="D397" s="37"/>
      <c r="E397" s="37"/>
      <c r="F397" s="36"/>
      <c r="G397" s="37"/>
      <c r="H397" s="37"/>
      <c r="I397" s="78"/>
      <c r="J397" s="78"/>
      <c r="K397" s="38"/>
      <c r="L397" s="35"/>
      <c r="M397" s="453"/>
      <c r="N397" s="37"/>
      <c r="O397" s="37"/>
      <c r="P397" s="37"/>
      <c r="Q397" s="37"/>
      <c r="R397" s="37"/>
      <c r="S397" s="37"/>
      <c r="T397" s="37"/>
      <c r="U397" s="37"/>
      <c r="V397" s="37"/>
      <c r="W397" s="37"/>
      <c r="X397" s="37"/>
      <c r="Y397" s="37"/>
      <c r="Z397" s="37"/>
      <c r="AA397" s="37"/>
    </row>
    <row r="398" spans="1:27">
      <c r="A398" s="37"/>
      <c r="B398" s="37"/>
      <c r="C398" s="37"/>
      <c r="D398" s="37"/>
      <c r="E398" s="37"/>
      <c r="F398" s="36"/>
      <c r="G398" s="37"/>
      <c r="H398" s="37"/>
      <c r="I398" s="78"/>
      <c r="J398" s="78"/>
      <c r="K398" s="38"/>
      <c r="L398" s="35"/>
      <c r="M398" s="453"/>
      <c r="N398" s="37"/>
      <c r="O398" s="37"/>
      <c r="P398" s="37"/>
      <c r="Q398" s="37"/>
      <c r="R398" s="37"/>
      <c r="S398" s="37"/>
      <c r="T398" s="37"/>
      <c r="U398" s="37"/>
      <c r="V398" s="37"/>
      <c r="W398" s="37"/>
      <c r="X398" s="37"/>
      <c r="Y398" s="37"/>
      <c r="Z398" s="37"/>
      <c r="AA398" s="37"/>
    </row>
    <row r="399" spans="1:27">
      <c r="A399" s="37"/>
      <c r="B399" s="37"/>
      <c r="C399" s="37"/>
      <c r="D399" s="37"/>
      <c r="E399" s="37"/>
      <c r="F399" s="36"/>
      <c r="G399" s="37"/>
      <c r="H399" s="37"/>
      <c r="I399" s="78"/>
      <c r="J399" s="78"/>
      <c r="K399" s="38"/>
      <c r="L399" s="35"/>
      <c r="M399" s="453"/>
      <c r="N399" s="37"/>
      <c r="O399" s="37"/>
      <c r="P399" s="37"/>
      <c r="Q399" s="37"/>
      <c r="R399" s="37"/>
      <c r="S399" s="37"/>
      <c r="T399" s="37"/>
      <c r="U399" s="37"/>
      <c r="V399" s="37"/>
      <c r="W399" s="37"/>
      <c r="X399" s="37"/>
      <c r="Y399" s="37"/>
      <c r="Z399" s="37"/>
      <c r="AA399" s="37"/>
    </row>
    <row r="400" spans="1:27">
      <c r="A400" s="37"/>
      <c r="B400" s="37"/>
      <c r="C400" s="37"/>
      <c r="D400" s="37"/>
      <c r="E400" s="37"/>
      <c r="F400" s="36"/>
      <c r="G400" s="37"/>
      <c r="H400" s="37"/>
      <c r="I400" s="78"/>
      <c r="J400" s="78"/>
      <c r="K400" s="38"/>
      <c r="L400" s="35"/>
      <c r="M400" s="453"/>
      <c r="N400" s="37"/>
      <c r="O400" s="37"/>
      <c r="P400" s="37"/>
      <c r="Q400" s="37"/>
      <c r="R400" s="37"/>
      <c r="S400" s="37"/>
      <c r="T400" s="37"/>
      <c r="U400" s="37"/>
      <c r="V400" s="37"/>
      <c r="W400" s="37"/>
      <c r="X400" s="37"/>
      <c r="Y400" s="37"/>
      <c r="Z400" s="37"/>
      <c r="AA400" s="37"/>
    </row>
    <row r="401" spans="1:27">
      <c r="A401" s="37"/>
      <c r="B401" s="37"/>
      <c r="C401" s="37"/>
      <c r="D401" s="37"/>
      <c r="E401" s="37"/>
      <c r="F401" s="36"/>
      <c r="G401" s="37"/>
      <c r="H401" s="37"/>
      <c r="I401" s="78"/>
      <c r="J401" s="78"/>
      <c r="K401" s="38"/>
      <c r="L401" s="35"/>
      <c r="M401" s="453"/>
      <c r="N401" s="37"/>
      <c r="O401" s="37"/>
      <c r="P401" s="37"/>
      <c r="Q401" s="37"/>
      <c r="R401" s="37"/>
      <c r="S401" s="37"/>
      <c r="T401" s="37"/>
      <c r="U401" s="37"/>
      <c r="V401" s="37"/>
      <c r="W401" s="37"/>
      <c r="X401" s="37"/>
      <c r="Y401" s="37"/>
      <c r="Z401" s="37"/>
      <c r="AA401" s="37"/>
    </row>
    <row r="402" spans="1:27">
      <c r="A402" s="37"/>
      <c r="B402" s="37"/>
      <c r="C402" s="37"/>
      <c r="D402" s="37"/>
      <c r="E402" s="37"/>
      <c r="F402" s="36"/>
      <c r="G402" s="37"/>
      <c r="H402" s="37"/>
      <c r="I402" s="78"/>
      <c r="J402" s="78"/>
      <c r="K402" s="38"/>
      <c r="L402" s="35"/>
      <c r="M402" s="453"/>
      <c r="N402" s="37"/>
      <c r="O402" s="37"/>
      <c r="P402" s="37"/>
      <c r="Q402" s="37"/>
      <c r="R402" s="37"/>
      <c r="S402" s="37"/>
      <c r="T402" s="37"/>
      <c r="U402" s="37"/>
      <c r="V402" s="37"/>
      <c r="W402" s="37"/>
      <c r="X402" s="37"/>
      <c r="Y402" s="37"/>
      <c r="Z402" s="37"/>
      <c r="AA402" s="37"/>
    </row>
    <row r="403" spans="1:27">
      <c r="A403" s="37"/>
      <c r="B403" s="37"/>
      <c r="C403" s="37"/>
      <c r="D403" s="37"/>
      <c r="E403" s="37"/>
      <c r="F403" s="36"/>
      <c r="G403" s="37"/>
      <c r="H403" s="37"/>
      <c r="I403" s="78"/>
      <c r="J403" s="78"/>
      <c r="K403" s="38"/>
      <c r="L403" s="35"/>
      <c r="M403" s="453"/>
      <c r="N403" s="37"/>
      <c r="O403" s="37"/>
      <c r="P403" s="37"/>
      <c r="Q403" s="37"/>
      <c r="R403" s="37"/>
      <c r="S403" s="37"/>
      <c r="T403" s="37"/>
      <c r="U403" s="37"/>
      <c r="V403" s="37"/>
      <c r="W403" s="37"/>
      <c r="X403" s="37"/>
      <c r="Y403" s="37"/>
      <c r="Z403" s="37"/>
      <c r="AA403" s="37"/>
    </row>
    <row r="404" spans="1:27">
      <c r="A404" s="37"/>
      <c r="B404" s="37"/>
      <c r="C404" s="37"/>
      <c r="D404" s="37"/>
      <c r="E404" s="37"/>
      <c r="F404" s="36"/>
      <c r="G404" s="37"/>
      <c r="H404" s="37"/>
      <c r="I404" s="78"/>
      <c r="J404" s="78"/>
      <c r="K404" s="38"/>
      <c r="L404" s="35"/>
      <c r="M404" s="453"/>
      <c r="N404" s="37"/>
      <c r="O404" s="37"/>
      <c r="P404" s="37"/>
      <c r="Q404" s="37"/>
      <c r="R404" s="37"/>
      <c r="S404" s="37"/>
      <c r="T404" s="37"/>
      <c r="U404" s="37"/>
      <c r="V404" s="37"/>
      <c r="W404" s="37"/>
      <c r="X404" s="37"/>
      <c r="Y404" s="37"/>
      <c r="Z404" s="37"/>
      <c r="AA404" s="37"/>
    </row>
    <row r="405" spans="1:27">
      <c r="A405" s="37"/>
      <c r="B405" s="37"/>
      <c r="C405" s="37"/>
      <c r="D405" s="37"/>
      <c r="E405" s="37"/>
      <c r="F405" s="36"/>
      <c r="G405" s="37"/>
      <c r="H405" s="37"/>
      <c r="I405" s="78"/>
      <c r="J405" s="78"/>
      <c r="K405" s="38"/>
      <c r="L405" s="35"/>
      <c r="M405" s="453"/>
      <c r="N405" s="37"/>
      <c r="O405" s="37"/>
      <c r="P405" s="37"/>
      <c r="Q405" s="37"/>
      <c r="R405" s="37"/>
      <c r="S405" s="37"/>
      <c r="T405" s="37"/>
      <c r="U405" s="37"/>
      <c r="V405" s="37"/>
      <c r="W405" s="37"/>
      <c r="X405" s="37"/>
      <c r="Y405" s="37"/>
      <c r="Z405" s="37"/>
      <c r="AA405" s="37"/>
    </row>
    <row r="406" spans="1:27">
      <c r="A406" s="37"/>
      <c r="B406" s="37"/>
      <c r="C406" s="37"/>
      <c r="D406" s="37"/>
      <c r="E406" s="37"/>
      <c r="F406" s="36"/>
      <c r="G406" s="37"/>
      <c r="H406" s="37"/>
      <c r="I406" s="78"/>
      <c r="J406" s="78"/>
      <c r="K406" s="38"/>
      <c r="L406" s="35"/>
      <c r="M406" s="453"/>
      <c r="N406" s="37"/>
      <c r="O406" s="37"/>
      <c r="P406" s="37"/>
      <c r="Q406" s="37"/>
      <c r="R406" s="37"/>
      <c r="S406" s="37"/>
      <c r="T406" s="37"/>
      <c r="U406" s="37"/>
      <c r="V406" s="37"/>
      <c r="W406" s="37"/>
      <c r="X406" s="37"/>
      <c r="Y406" s="37"/>
      <c r="Z406" s="37"/>
      <c r="AA406" s="37"/>
    </row>
    <row r="407" spans="1:27">
      <c r="A407" s="37"/>
      <c r="B407" s="37"/>
      <c r="C407" s="37"/>
      <c r="D407" s="37"/>
      <c r="E407" s="37"/>
      <c r="F407" s="36"/>
      <c r="G407" s="37"/>
      <c r="H407" s="37"/>
      <c r="I407" s="78"/>
      <c r="J407" s="78"/>
      <c r="K407" s="38"/>
      <c r="L407" s="35"/>
      <c r="M407" s="453"/>
      <c r="N407" s="37"/>
      <c r="O407" s="37"/>
      <c r="P407" s="37"/>
      <c r="Q407" s="37"/>
      <c r="R407" s="37"/>
      <c r="S407" s="37"/>
      <c r="T407" s="37"/>
      <c r="U407" s="37"/>
      <c r="V407" s="37"/>
      <c r="W407" s="37"/>
      <c r="X407" s="37"/>
      <c r="Y407" s="37"/>
      <c r="Z407" s="37"/>
      <c r="AA407" s="37"/>
    </row>
    <row r="408" spans="1:27">
      <c r="A408" s="37"/>
      <c r="B408" s="37"/>
      <c r="C408" s="37"/>
      <c r="D408" s="37"/>
      <c r="E408" s="37"/>
      <c r="F408" s="36"/>
      <c r="G408" s="37"/>
      <c r="H408" s="37"/>
      <c r="I408" s="78"/>
      <c r="J408" s="78"/>
      <c r="K408" s="38"/>
      <c r="L408" s="35"/>
      <c r="M408" s="453"/>
      <c r="N408" s="37"/>
      <c r="O408" s="37"/>
      <c r="P408" s="37"/>
      <c r="Q408" s="37"/>
      <c r="R408" s="37"/>
      <c r="S408" s="37"/>
      <c r="T408" s="37"/>
      <c r="U408" s="37"/>
      <c r="V408" s="37"/>
      <c r="W408" s="37"/>
      <c r="X408" s="37"/>
      <c r="Y408" s="37"/>
      <c r="Z408" s="37"/>
      <c r="AA408" s="37"/>
    </row>
    <row r="409" spans="1:27">
      <c r="A409" s="37"/>
      <c r="B409" s="37"/>
      <c r="C409" s="37"/>
      <c r="D409" s="37"/>
      <c r="E409" s="37"/>
      <c r="F409" s="36"/>
      <c r="G409" s="37"/>
      <c r="H409" s="37"/>
      <c r="I409" s="78"/>
      <c r="J409" s="78"/>
      <c r="K409" s="38"/>
      <c r="L409" s="35"/>
      <c r="M409" s="453"/>
      <c r="N409" s="37"/>
      <c r="O409" s="37"/>
      <c r="P409" s="37"/>
      <c r="Q409" s="37"/>
      <c r="R409" s="37"/>
      <c r="S409" s="37"/>
      <c r="T409" s="37"/>
      <c r="U409" s="37"/>
      <c r="V409" s="37"/>
      <c r="W409" s="37"/>
      <c r="X409" s="37"/>
      <c r="Y409" s="37"/>
      <c r="Z409" s="37"/>
      <c r="AA409" s="37"/>
    </row>
    <row r="410" spans="1:27">
      <c r="A410" s="37"/>
      <c r="B410" s="37"/>
      <c r="C410" s="37"/>
      <c r="D410" s="37"/>
      <c r="E410" s="37"/>
      <c r="F410" s="36"/>
      <c r="G410" s="37"/>
      <c r="H410" s="37"/>
      <c r="I410" s="78"/>
      <c r="J410" s="78"/>
      <c r="K410" s="38"/>
      <c r="L410" s="35"/>
      <c r="M410" s="453"/>
      <c r="N410" s="37"/>
      <c r="O410" s="37"/>
      <c r="P410" s="37"/>
      <c r="Q410" s="37"/>
      <c r="R410" s="37"/>
      <c r="S410" s="37"/>
      <c r="T410" s="37"/>
      <c r="U410" s="37"/>
      <c r="V410" s="37"/>
      <c r="W410" s="37"/>
      <c r="X410" s="37"/>
      <c r="Y410" s="37"/>
      <c r="Z410" s="37"/>
      <c r="AA410" s="37"/>
    </row>
    <row r="411" spans="1:27">
      <c r="A411" s="37"/>
      <c r="B411" s="37"/>
      <c r="C411" s="37"/>
      <c r="D411" s="37"/>
      <c r="E411" s="37"/>
      <c r="F411" s="36"/>
      <c r="G411" s="37"/>
      <c r="H411" s="37"/>
      <c r="I411" s="78"/>
      <c r="J411" s="78"/>
      <c r="K411" s="38"/>
      <c r="L411" s="35"/>
      <c r="M411" s="453"/>
      <c r="N411" s="37"/>
      <c r="O411" s="37"/>
      <c r="P411" s="37"/>
      <c r="Q411" s="37"/>
      <c r="R411" s="37"/>
      <c r="S411" s="37"/>
      <c r="T411" s="37"/>
      <c r="U411" s="37"/>
      <c r="V411" s="37"/>
      <c r="W411" s="37"/>
      <c r="X411" s="37"/>
      <c r="Y411" s="37"/>
      <c r="Z411" s="37"/>
      <c r="AA411" s="37"/>
    </row>
    <row r="412" spans="1:27">
      <c r="A412" s="37"/>
      <c r="B412" s="37"/>
      <c r="C412" s="37"/>
      <c r="D412" s="37"/>
      <c r="E412" s="37"/>
      <c r="F412" s="36"/>
      <c r="G412" s="37"/>
      <c r="H412" s="37"/>
      <c r="I412" s="78"/>
      <c r="J412" s="78"/>
      <c r="K412" s="38"/>
      <c r="L412" s="35"/>
      <c r="M412" s="453"/>
      <c r="N412" s="37"/>
      <c r="O412" s="37"/>
      <c r="P412" s="37"/>
      <c r="Q412" s="37"/>
      <c r="R412" s="37"/>
      <c r="S412" s="37"/>
      <c r="T412" s="37"/>
      <c r="U412" s="37"/>
      <c r="V412" s="37"/>
      <c r="W412" s="37"/>
      <c r="X412" s="37"/>
      <c r="Y412" s="37"/>
      <c r="Z412" s="37"/>
      <c r="AA412" s="37"/>
    </row>
    <row r="413" spans="1:27">
      <c r="A413" s="37"/>
      <c r="B413" s="37"/>
      <c r="C413" s="37"/>
      <c r="D413" s="37"/>
      <c r="E413" s="37"/>
      <c r="F413" s="36"/>
      <c r="G413" s="37"/>
      <c r="H413" s="37"/>
      <c r="I413" s="78"/>
      <c r="J413" s="78"/>
      <c r="K413" s="38"/>
      <c r="L413" s="35"/>
      <c r="M413" s="453"/>
      <c r="N413" s="37"/>
      <c r="O413" s="37"/>
      <c r="P413" s="37"/>
      <c r="Q413" s="37"/>
      <c r="R413" s="37"/>
      <c r="S413" s="37"/>
      <c r="T413" s="37"/>
      <c r="U413" s="37"/>
      <c r="V413" s="37"/>
      <c r="W413" s="37"/>
      <c r="X413" s="37"/>
      <c r="Y413" s="37"/>
      <c r="Z413" s="37"/>
      <c r="AA413" s="37"/>
    </row>
    <row r="414" spans="1:27">
      <c r="A414" s="37"/>
      <c r="B414" s="37"/>
      <c r="C414" s="37"/>
      <c r="D414" s="37"/>
      <c r="E414" s="37"/>
      <c r="F414" s="36"/>
      <c r="G414" s="37"/>
      <c r="H414" s="37"/>
      <c r="I414" s="78"/>
      <c r="J414" s="78"/>
      <c r="K414" s="38"/>
      <c r="L414" s="35"/>
      <c r="M414" s="453"/>
      <c r="N414" s="37"/>
      <c r="O414" s="37"/>
      <c r="P414" s="37"/>
      <c r="Q414" s="37"/>
      <c r="R414" s="37"/>
      <c r="S414" s="37"/>
      <c r="T414" s="37"/>
      <c r="U414" s="37"/>
      <c r="V414" s="37"/>
      <c r="W414" s="37"/>
      <c r="X414" s="37"/>
      <c r="Y414" s="37"/>
      <c r="Z414" s="37"/>
      <c r="AA414" s="37"/>
    </row>
    <row r="415" spans="1:27">
      <c r="A415" s="37"/>
      <c r="B415" s="37"/>
      <c r="C415" s="37"/>
      <c r="D415" s="37"/>
      <c r="E415" s="37"/>
      <c r="F415" s="36"/>
      <c r="G415" s="37"/>
      <c r="H415" s="37"/>
      <c r="I415" s="78"/>
      <c r="J415" s="78"/>
      <c r="K415" s="38"/>
      <c r="L415" s="35"/>
      <c r="M415" s="453"/>
      <c r="N415" s="37"/>
      <c r="O415" s="37"/>
      <c r="P415" s="37"/>
      <c r="Q415" s="37"/>
      <c r="R415" s="37"/>
      <c r="S415" s="37"/>
      <c r="T415" s="37"/>
      <c r="U415" s="37"/>
      <c r="V415" s="37"/>
      <c r="W415" s="37"/>
      <c r="X415" s="37"/>
      <c r="Y415" s="37"/>
      <c r="Z415" s="37"/>
      <c r="AA415" s="37"/>
    </row>
    <row r="416" spans="1:27">
      <c r="A416" s="37"/>
      <c r="B416" s="37"/>
      <c r="C416" s="37"/>
      <c r="D416" s="37"/>
      <c r="E416" s="37"/>
      <c r="F416" s="36"/>
      <c r="G416" s="37"/>
      <c r="H416" s="37"/>
      <c r="I416" s="78"/>
      <c r="J416" s="78"/>
      <c r="K416" s="38"/>
      <c r="L416" s="35"/>
      <c r="M416" s="453"/>
      <c r="N416" s="37"/>
      <c r="O416" s="37"/>
      <c r="P416" s="37"/>
      <c r="Q416" s="37"/>
      <c r="R416" s="37"/>
      <c r="S416" s="37"/>
      <c r="T416" s="37"/>
      <c r="U416" s="37"/>
      <c r="V416" s="37"/>
      <c r="W416" s="37"/>
      <c r="X416" s="37"/>
      <c r="Y416" s="37"/>
      <c r="Z416" s="37"/>
      <c r="AA416" s="37"/>
    </row>
    <row r="417" spans="1:27">
      <c r="A417" s="37"/>
      <c r="B417" s="37"/>
      <c r="C417" s="37"/>
      <c r="D417" s="37"/>
      <c r="E417" s="37"/>
      <c r="F417" s="36"/>
      <c r="G417" s="37"/>
      <c r="H417" s="37"/>
      <c r="I417" s="78"/>
      <c r="J417" s="78"/>
      <c r="K417" s="38"/>
      <c r="L417" s="35"/>
      <c r="M417" s="453"/>
      <c r="N417" s="37"/>
      <c r="O417" s="37"/>
      <c r="P417" s="37"/>
      <c r="Q417" s="37"/>
      <c r="R417" s="37"/>
      <c r="S417" s="37"/>
      <c r="T417" s="37"/>
      <c r="U417" s="37"/>
      <c r="V417" s="37"/>
      <c r="W417" s="37"/>
      <c r="X417" s="37"/>
      <c r="Y417" s="37"/>
      <c r="Z417" s="37"/>
      <c r="AA417" s="37"/>
    </row>
    <row r="418" spans="1:27">
      <c r="A418" s="37"/>
      <c r="B418" s="37"/>
      <c r="C418" s="37"/>
      <c r="D418" s="37"/>
      <c r="E418" s="37"/>
      <c r="F418" s="36"/>
      <c r="G418" s="37"/>
      <c r="H418" s="37"/>
      <c r="I418" s="78"/>
      <c r="J418" s="78"/>
      <c r="K418" s="38"/>
      <c r="L418" s="35"/>
      <c r="M418" s="453"/>
      <c r="N418" s="37"/>
      <c r="O418" s="37"/>
      <c r="P418" s="37"/>
      <c r="Q418" s="37"/>
      <c r="R418" s="37"/>
      <c r="S418" s="37"/>
      <c r="T418" s="37"/>
      <c r="U418" s="37"/>
      <c r="V418" s="37"/>
      <c r="W418" s="37"/>
      <c r="X418" s="37"/>
      <c r="Y418" s="37"/>
      <c r="Z418" s="37"/>
      <c r="AA418" s="37"/>
    </row>
    <row r="419" spans="1:27">
      <c r="A419" s="37"/>
      <c r="B419" s="37"/>
      <c r="C419" s="37"/>
      <c r="D419" s="37"/>
      <c r="E419" s="37"/>
      <c r="F419" s="36"/>
      <c r="G419" s="37"/>
      <c r="H419" s="37"/>
      <c r="I419" s="78"/>
      <c r="J419" s="78"/>
      <c r="K419" s="38"/>
      <c r="L419" s="35"/>
      <c r="M419" s="453"/>
      <c r="N419" s="37"/>
      <c r="O419" s="37"/>
      <c r="P419" s="37"/>
      <c r="Q419" s="37"/>
      <c r="R419" s="37"/>
      <c r="S419" s="37"/>
      <c r="T419" s="37"/>
      <c r="U419" s="37"/>
      <c r="V419" s="37"/>
      <c r="W419" s="37"/>
      <c r="X419" s="37"/>
      <c r="Y419" s="37"/>
      <c r="Z419" s="37"/>
      <c r="AA419" s="37"/>
    </row>
    <row r="420" spans="1:27">
      <c r="A420" s="37"/>
      <c r="B420" s="37"/>
      <c r="C420" s="37"/>
      <c r="D420" s="37"/>
      <c r="E420" s="37"/>
      <c r="F420" s="36"/>
      <c r="G420" s="37"/>
      <c r="H420" s="37"/>
      <c r="I420" s="78"/>
      <c r="J420" s="78"/>
      <c r="K420" s="38"/>
      <c r="L420" s="35"/>
      <c r="M420" s="453"/>
      <c r="N420" s="37"/>
      <c r="O420" s="37"/>
      <c r="P420" s="37"/>
      <c r="Q420" s="37"/>
      <c r="R420" s="37"/>
      <c r="S420" s="37"/>
      <c r="T420" s="37"/>
      <c r="U420" s="37"/>
      <c r="V420" s="37"/>
      <c r="W420" s="37"/>
      <c r="X420" s="37"/>
      <c r="Y420" s="37"/>
      <c r="Z420" s="37"/>
      <c r="AA420" s="37"/>
    </row>
    <row r="421" spans="1:27">
      <c r="A421" s="37"/>
      <c r="B421" s="37"/>
      <c r="C421" s="37"/>
      <c r="D421" s="37"/>
      <c r="E421" s="37"/>
      <c r="F421" s="36"/>
      <c r="G421" s="37"/>
      <c r="H421" s="37"/>
      <c r="I421" s="78"/>
      <c r="J421" s="78"/>
      <c r="K421" s="38"/>
      <c r="L421" s="35"/>
      <c r="M421" s="453"/>
      <c r="N421" s="37"/>
      <c r="O421" s="37"/>
      <c r="P421" s="37"/>
      <c r="Q421" s="37"/>
      <c r="R421" s="37"/>
      <c r="S421" s="37"/>
      <c r="T421" s="37"/>
      <c r="U421" s="37"/>
      <c r="V421" s="37"/>
      <c r="W421" s="37"/>
      <c r="X421" s="37"/>
      <c r="Y421" s="37"/>
      <c r="Z421" s="37"/>
      <c r="AA421" s="37"/>
    </row>
    <row r="422" spans="1:27">
      <c r="A422" s="37"/>
      <c r="B422" s="37"/>
      <c r="C422" s="37"/>
      <c r="D422" s="37"/>
      <c r="E422" s="37"/>
      <c r="F422" s="36"/>
      <c r="G422" s="37"/>
      <c r="H422" s="37"/>
      <c r="I422" s="78"/>
      <c r="J422" s="78"/>
      <c r="K422" s="38"/>
      <c r="L422" s="35"/>
      <c r="M422" s="453"/>
      <c r="N422" s="37"/>
      <c r="O422" s="37"/>
      <c r="P422" s="37"/>
      <c r="Q422" s="37"/>
      <c r="R422" s="37"/>
      <c r="S422" s="37"/>
      <c r="T422" s="37"/>
      <c r="U422" s="37"/>
      <c r="V422" s="37"/>
      <c r="W422" s="37"/>
      <c r="X422" s="37"/>
      <c r="Y422" s="37"/>
      <c r="Z422" s="37"/>
      <c r="AA422" s="37"/>
    </row>
    <row r="423" spans="1:27">
      <c r="A423" s="37"/>
      <c r="B423" s="37"/>
      <c r="C423" s="37"/>
      <c r="D423" s="37"/>
      <c r="E423" s="37"/>
      <c r="F423" s="36"/>
      <c r="G423" s="37"/>
      <c r="H423" s="37"/>
      <c r="I423" s="78"/>
      <c r="J423" s="78"/>
      <c r="K423" s="38"/>
      <c r="L423" s="35"/>
      <c r="M423" s="453"/>
      <c r="N423" s="37"/>
      <c r="O423" s="37"/>
      <c r="P423" s="37"/>
      <c r="Q423" s="37"/>
      <c r="R423" s="37"/>
      <c r="S423" s="37"/>
      <c r="T423" s="37"/>
      <c r="U423" s="37"/>
      <c r="V423" s="37"/>
      <c r="W423" s="37"/>
      <c r="X423" s="37"/>
      <c r="Y423" s="37"/>
      <c r="Z423" s="37"/>
      <c r="AA423" s="37"/>
    </row>
    <row r="424" spans="1:27">
      <c r="A424" s="37"/>
      <c r="B424" s="37"/>
      <c r="C424" s="37"/>
      <c r="D424" s="37"/>
      <c r="E424" s="37"/>
      <c r="F424" s="36"/>
      <c r="G424" s="37"/>
      <c r="H424" s="37"/>
      <c r="I424" s="78"/>
      <c r="J424" s="78"/>
      <c r="K424" s="38"/>
      <c r="L424" s="35"/>
      <c r="M424" s="453"/>
      <c r="N424" s="37"/>
      <c r="O424" s="37"/>
      <c r="P424" s="37"/>
      <c r="Q424" s="37"/>
      <c r="R424" s="37"/>
      <c r="S424" s="37"/>
      <c r="T424" s="37"/>
      <c r="U424" s="37"/>
      <c r="V424" s="37"/>
      <c r="W424" s="37"/>
      <c r="X424" s="37"/>
      <c r="Y424" s="37"/>
      <c r="Z424" s="37"/>
      <c r="AA424" s="37"/>
    </row>
    <row r="425" spans="1:27">
      <c r="A425" s="37"/>
      <c r="B425" s="37"/>
      <c r="C425" s="37"/>
      <c r="D425" s="37"/>
      <c r="E425" s="37"/>
      <c r="F425" s="36"/>
      <c r="G425" s="37"/>
      <c r="H425" s="37"/>
      <c r="I425" s="78"/>
      <c r="J425" s="78"/>
      <c r="K425" s="38"/>
      <c r="L425" s="35"/>
      <c r="M425" s="453"/>
      <c r="N425" s="37"/>
      <c r="O425" s="37"/>
      <c r="P425" s="37"/>
      <c r="Q425" s="37"/>
      <c r="R425" s="37"/>
      <c r="S425" s="37"/>
      <c r="T425" s="37"/>
      <c r="U425" s="37"/>
      <c r="V425" s="37"/>
      <c r="W425" s="37"/>
      <c r="X425" s="37"/>
      <c r="Y425" s="37"/>
      <c r="Z425" s="37"/>
      <c r="AA425" s="37"/>
    </row>
    <row r="426" spans="1:27">
      <c r="A426" s="37"/>
      <c r="B426" s="37"/>
      <c r="C426" s="37"/>
      <c r="D426" s="37"/>
      <c r="E426" s="37"/>
      <c r="F426" s="36"/>
      <c r="G426" s="37"/>
      <c r="H426" s="37"/>
      <c r="I426" s="78"/>
      <c r="J426" s="78"/>
      <c r="K426" s="38"/>
      <c r="L426" s="35"/>
      <c r="M426" s="453"/>
      <c r="N426" s="37"/>
      <c r="O426" s="37"/>
      <c r="P426" s="37"/>
      <c r="Q426" s="37"/>
      <c r="R426" s="37"/>
      <c r="S426" s="37"/>
      <c r="T426" s="37"/>
      <c r="U426" s="37"/>
      <c r="V426" s="37"/>
      <c r="W426" s="37"/>
      <c r="X426" s="37"/>
      <c r="Y426" s="37"/>
      <c r="Z426" s="37"/>
      <c r="AA426" s="37"/>
    </row>
    <row r="427" spans="1:27">
      <c r="A427" s="37"/>
      <c r="B427" s="37"/>
      <c r="C427" s="37"/>
      <c r="D427" s="37"/>
      <c r="E427" s="37"/>
      <c r="F427" s="36"/>
      <c r="G427" s="37"/>
      <c r="H427" s="37"/>
      <c r="I427" s="78"/>
      <c r="J427" s="78"/>
      <c r="K427" s="38"/>
      <c r="L427" s="35"/>
      <c r="M427" s="453"/>
      <c r="N427" s="37"/>
      <c r="O427" s="37"/>
      <c r="P427" s="37"/>
      <c r="Q427" s="37"/>
      <c r="R427" s="37"/>
      <c r="S427" s="37"/>
      <c r="T427" s="37"/>
      <c r="U427" s="37"/>
      <c r="V427" s="37"/>
      <c r="W427" s="37"/>
      <c r="X427" s="37"/>
      <c r="Y427" s="37"/>
      <c r="Z427" s="37"/>
      <c r="AA427" s="37"/>
    </row>
    <row r="428" spans="1:27">
      <c r="A428" s="37"/>
      <c r="B428" s="37"/>
      <c r="C428" s="37"/>
      <c r="D428" s="37"/>
      <c r="E428" s="37"/>
      <c r="F428" s="36"/>
      <c r="G428" s="37"/>
      <c r="H428" s="37"/>
      <c r="I428" s="78"/>
      <c r="J428" s="78"/>
      <c r="K428" s="38"/>
      <c r="L428" s="35"/>
      <c r="M428" s="453"/>
      <c r="N428" s="37"/>
      <c r="O428" s="37"/>
      <c r="P428" s="37"/>
      <c r="Q428" s="37"/>
      <c r="R428" s="37"/>
      <c r="S428" s="37"/>
      <c r="T428" s="37"/>
      <c r="U428" s="37"/>
      <c r="V428" s="37"/>
      <c r="W428" s="37"/>
      <c r="X428" s="37"/>
      <c r="Y428" s="37"/>
      <c r="Z428" s="37"/>
      <c r="AA428" s="37"/>
    </row>
    <row r="429" spans="1:27">
      <c r="A429" s="37"/>
      <c r="B429" s="37"/>
      <c r="C429" s="37"/>
      <c r="D429" s="37"/>
      <c r="E429" s="37"/>
      <c r="F429" s="36"/>
      <c r="G429" s="37"/>
      <c r="H429" s="37"/>
      <c r="I429" s="78"/>
      <c r="J429" s="78"/>
      <c r="K429" s="38"/>
      <c r="L429" s="35"/>
      <c r="M429" s="453"/>
      <c r="N429" s="37"/>
      <c r="O429" s="37"/>
      <c r="P429" s="37"/>
      <c r="Q429" s="37"/>
      <c r="R429" s="37"/>
      <c r="S429" s="37"/>
      <c r="T429" s="37"/>
      <c r="U429" s="37"/>
      <c r="V429" s="37"/>
      <c r="W429" s="37"/>
      <c r="X429" s="37"/>
      <c r="Y429" s="37"/>
      <c r="Z429" s="37"/>
      <c r="AA429" s="37"/>
    </row>
    <row r="430" spans="1:27">
      <c r="A430" s="37"/>
      <c r="B430" s="37"/>
      <c r="C430" s="37"/>
      <c r="D430" s="37"/>
      <c r="E430" s="37"/>
      <c r="F430" s="36"/>
      <c r="G430" s="37"/>
      <c r="H430" s="37"/>
      <c r="I430" s="78"/>
      <c r="J430" s="78"/>
      <c r="K430" s="38"/>
      <c r="L430" s="35"/>
      <c r="M430" s="453"/>
      <c r="N430" s="37"/>
      <c r="O430" s="37"/>
      <c r="P430" s="37"/>
      <c r="Q430" s="37"/>
      <c r="R430" s="37"/>
      <c r="S430" s="37"/>
      <c r="T430" s="37"/>
      <c r="U430" s="37"/>
      <c r="V430" s="37"/>
      <c r="W430" s="37"/>
      <c r="X430" s="37"/>
      <c r="Y430" s="37"/>
      <c r="Z430" s="37"/>
      <c r="AA430" s="37"/>
    </row>
    <row r="431" spans="1:27">
      <c r="A431" s="37"/>
      <c r="B431" s="37"/>
      <c r="C431" s="37"/>
      <c r="D431" s="37"/>
      <c r="E431" s="37"/>
      <c r="F431" s="36"/>
      <c r="G431" s="37"/>
      <c r="H431" s="37"/>
      <c r="I431" s="78"/>
      <c r="J431" s="78"/>
      <c r="K431" s="38"/>
      <c r="L431" s="35"/>
      <c r="M431" s="453"/>
      <c r="N431" s="37"/>
      <c r="O431" s="37"/>
      <c r="P431" s="37"/>
      <c r="Q431" s="37"/>
      <c r="R431" s="37"/>
      <c r="S431" s="37"/>
      <c r="T431" s="37"/>
      <c r="U431" s="37"/>
      <c r="V431" s="37"/>
      <c r="W431" s="37"/>
      <c r="X431" s="37"/>
      <c r="Y431" s="37"/>
      <c r="Z431" s="37"/>
      <c r="AA431" s="37"/>
    </row>
    <row r="432" spans="1:27">
      <c r="A432" s="37"/>
      <c r="B432" s="37"/>
      <c r="C432" s="37"/>
      <c r="D432" s="37"/>
      <c r="E432" s="37"/>
      <c r="F432" s="36"/>
      <c r="G432" s="37"/>
      <c r="H432" s="37"/>
      <c r="I432" s="78"/>
      <c r="J432" s="78"/>
      <c r="K432" s="38"/>
      <c r="L432" s="35"/>
      <c r="M432" s="453"/>
      <c r="N432" s="37"/>
      <c r="O432" s="37"/>
      <c r="P432" s="37"/>
      <c r="Q432" s="37"/>
      <c r="R432" s="37"/>
      <c r="S432" s="37"/>
      <c r="T432" s="37"/>
      <c r="U432" s="37"/>
      <c r="V432" s="37"/>
      <c r="W432" s="37"/>
      <c r="X432" s="37"/>
      <c r="Y432" s="37"/>
      <c r="Z432" s="37"/>
      <c r="AA432" s="37"/>
    </row>
    <row r="433" spans="1:27">
      <c r="A433" s="37"/>
      <c r="B433" s="37"/>
      <c r="C433" s="37"/>
      <c r="D433" s="37"/>
      <c r="E433" s="37"/>
      <c r="F433" s="36"/>
      <c r="G433" s="37"/>
      <c r="H433" s="37"/>
      <c r="I433" s="78"/>
      <c r="J433" s="78"/>
      <c r="K433" s="38"/>
      <c r="L433" s="35"/>
      <c r="M433" s="453"/>
      <c r="N433" s="37"/>
      <c r="O433" s="37"/>
      <c r="P433" s="37"/>
      <c r="Q433" s="37"/>
      <c r="R433" s="37"/>
      <c r="S433" s="37"/>
      <c r="T433" s="37"/>
      <c r="U433" s="37"/>
      <c r="V433" s="37"/>
      <c r="W433" s="37"/>
      <c r="X433" s="37"/>
      <c r="Y433" s="37"/>
      <c r="Z433" s="37"/>
      <c r="AA433" s="37"/>
    </row>
    <row r="434" spans="1:27">
      <c r="A434" s="37"/>
      <c r="B434" s="37"/>
      <c r="C434" s="37"/>
      <c r="D434" s="37"/>
      <c r="E434" s="37"/>
      <c r="F434" s="36"/>
      <c r="G434" s="37"/>
      <c r="H434" s="37"/>
      <c r="I434" s="78"/>
      <c r="J434" s="78"/>
      <c r="K434" s="38"/>
      <c r="L434" s="35"/>
      <c r="M434" s="453"/>
      <c r="N434" s="37"/>
      <c r="O434" s="37"/>
      <c r="P434" s="37"/>
      <c r="Q434" s="37"/>
      <c r="R434" s="37"/>
      <c r="S434" s="37"/>
      <c r="T434" s="37"/>
      <c r="U434" s="37"/>
      <c r="V434" s="37"/>
      <c r="W434" s="37"/>
      <c r="X434" s="37"/>
      <c r="Y434" s="37"/>
      <c r="Z434" s="37"/>
      <c r="AA434" s="37"/>
    </row>
    <row r="435" spans="1:27">
      <c r="A435" s="37"/>
      <c r="B435" s="37"/>
      <c r="C435" s="37"/>
      <c r="D435" s="37"/>
      <c r="E435" s="37"/>
      <c r="F435" s="36"/>
      <c r="G435" s="37"/>
      <c r="H435" s="37"/>
      <c r="I435" s="78"/>
      <c r="J435" s="78"/>
      <c r="K435" s="38"/>
      <c r="L435" s="35"/>
      <c r="M435" s="453"/>
      <c r="N435" s="37"/>
      <c r="O435" s="37"/>
      <c r="P435" s="37"/>
      <c r="Q435" s="37"/>
      <c r="R435" s="37"/>
      <c r="S435" s="37"/>
      <c r="T435" s="37"/>
      <c r="U435" s="37"/>
      <c r="V435" s="37"/>
      <c r="W435" s="37"/>
      <c r="X435" s="37"/>
      <c r="Y435" s="37"/>
      <c r="Z435" s="37"/>
      <c r="AA435" s="37"/>
    </row>
    <row r="436" spans="1:27">
      <c r="A436" s="37"/>
      <c r="B436" s="37"/>
      <c r="C436" s="37"/>
      <c r="D436" s="37"/>
      <c r="E436" s="37"/>
      <c r="F436" s="36"/>
      <c r="G436" s="37"/>
      <c r="H436" s="37"/>
      <c r="I436" s="78"/>
      <c r="J436" s="78"/>
      <c r="K436" s="38"/>
      <c r="L436" s="35"/>
      <c r="M436" s="453"/>
      <c r="N436" s="37"/>
      <c r="O436" s="37"/>
      <c r="P436" s="37"/>
      <c r="Q436" s="37"/>
      <c r="R436" s="37"/>
      <c r="S436" s="37"/>
      <c r="T436" s="37"/>
      <c r="U436" s="37"/>
      <c r="V436" s="37"/>
      <c r="W436" s="37"/>
      <c r="X436" s="37"/>
      <c r="Y436" s="37"/>
      <c r="Z436" s="37"/>
      <c r="AA436" s="37"/>
    </row>
    <row r="437" spans="1:27">
      <c r="A437" s="37"/>
      <c r="B437" s="37"/>
      <c r="C437" s="37"/>
      <c r="D437" s="37"/>
      <c r="E437" s="37"/>
      <c r="F437" s="36"/>
      <c r="G437" s="37"/>
      <c r="H437" s="37"/>
      <c r="I437" s="78"/>
      <c r="J437" s="78"/>
      <c r="K437" s="38"/>
      <c r="L437" s="35"/>
      <c r="M437" s="453"/>
      <c r="N437" s="37"/>
      <c r="O437" s="37"/>
      <c r="P437" s="37"/>
      <c r="Q437" s="37"/>
      <c r="R437" s="37"/>
      <c r="S437" s="37"/>
      <c r="T437" s="37"/>
      <c r="U437" s="37"/>
      <c r="V437" s="37"/>
      <c r="W437" s="37"/>
      <c r="X437" s="37"/>
      <c r="Y437" s="37"/>
      <c r="Z437" s="37"/>
      <c r="AA437" s="37"/>
    </row>
    <row r="438" spans="1:27">
      <c r="A438" s="37"/>
      <c r="B438" s="37"/>
      <c r="C438" s="37"/>
      <c r="D438" s="37"/>
      <c r="E438" s="37"/>
      <c r="F438" s="36"/>
      <c r="G438" s="37"/>
      <c r="H438" s="37"/>
      <c r="I438" s="78"/>
      <c r="J438" s="78"/>
      <c r="K438" s="38"/>
      <c r="L438" s="35"/>
      <c r="M438" s="453"/>
      <c r="N438" s="37"/>
      <c r="O438" s="37"/>
      <c r="P438" s="37"/>
      <c r="Q438" s="37"/>
      <c r="R438" s="37"/>
      <c r="S438" s="37"/>
      <c r="T438" s="37"/>
      <c r="U438" s="37"/>
      <c r="V438" s="37"/>
      <c r="W438" s="37"/>
      <c r="X438" s="37"/>
      <c r="Y438" s="37"/>
      <c r="Z438" s="37"/>
      <c r="AA438" s="37"/>
    </row>
    <row r="439" spans="1:27">
      <c r="A439" s="37"/>
      <c r="B439" s="37"/>
      <c r="C439" s="37"/>
      <c r="D439" s="37"/>
      <c r="E439" s="37"/>
      <c r="F439" s="36"/>
      <c r="G439" s="37"/>
      <c r="H439" s="37"/>
      <c r="I439" s="78"/>
      <c r="J439" s="78"/>
      <c r="K439" s="38"/>
      <c r="L439" s="35"/>
      <c r="M439" s="453"/>
      <c r="N439" s="37"/>
      <c r="O439" s="37"/>
      <c r="P439" s="37"/>
      <c r="Q439" s="37"/>
      <c r="R439" s="37"/>
      <c r="S439" s="37"/>
      <c r="T439" s="37"/>
      <c r="U439" s="37"/>
      <c r="V439" s="37"/>
      <c r="W439" s="37"/>
      <c r="X439" s="37"/>
      <c r="Y439" s="37"/>
      <c r="Z439" s="37"/>
      <c r="AA439" s="37"/>
    </row>
    <row r="440" spans="1:27">
      <c r="A440" s="37"/>
      <c r="B440" s="37"/>
      <c r="C440" s="37"/>
      <c r="D440" s="37"/>
      <c r="E440" s="37"/>
      <c r="F440" s="36"/>
      <c r="G440" s="37"/>
      <c r="H440" s="37"/>
      <c r="I440" s="78"/>
      <c r="J440" s="78"/>
      <c r="K440" s="38"/>
      <c r="L440" s="35"/>
      <c r="M440" s="453"/>
      <c r="N440" s="37"/>
      <c r="O440" s="37"/>
      <c r="P440" s="37"/>
      <c r="Q440" s="37"/>
      <c r="R440" s="37"/>
      <c r="S440" s="37"/>
      <c r="T440" s="37"/>
      <c r="U440" s="37"/>
      <c r="V440" s="37"/>
      <c r="W440" s="37"/>
      <c r="X440" s="37"/>
      <c r="Y440" s="37"/>
      <c r="Z440" s="37"/>
      <c r="AA440" s="37"/>
    </row>
    <row r="441" spans="1:27">
      <c r="A441" s="37"/>
      <c r="B441" s="37"/>
      <c r="C441" s="37"/>
      <c r="D441" s="37"/>
      <c r="E441" s="37"/>
      <c r="F441" s="36"/>
      <c r="G441" s="37"/>
      <c r="H441" s="37"/>
      <c r="I441" s="78"/>
      <c r="J441" s="78"/>
      <c r="K441" s="38"/>
      <c r="L441" s="35"/>
      <c r="M441" s="453"/>
      <c r="N441" s="37"/>
      <c r="O441" s="37"/>
      <c r="P441" s="37"/>
      <c r="Q441" s="37"/>
      <c r="R441" s="37"/>
      <c r="S441" s="37"/>
      <c r="T441" s="37"/>
      <c r="U441" s="37"/>
      <c r="V441" s="37"/>
      <c r="W441" s="37"/>
      <c r="X441" s="37"/>
      <c r="Y441" s="37"/>
      <c r="Z441" s="37"/>
      <c r="AA441" s="37"/>
    </row>
    <row r="442" spans="1:27">
      <c r="A442" s="37"/>
      <c r="B442" s="37"/>
      <c r="C442" s="37"/>
      <c r="D442" s="37"/>
      <c r="E442" s="37"/>
      <c r="F442" s="36"/>
      <c r="G442" s="37"/>
      <c r="H442" s="37"/>
      <c r="I442" s="78"/>
      <c r="J442" s="78"/>
      <c r="K442" s="38"/>
      <c r="L442" s="35"/>
      <c r="M442" s="453"/>
      <c r="N442" s="37"/>
      <c r="O442" s="37"/>
      <c r="P442" s="37"/>
      <c r="Q442" s="37"/>
      <c r="R442" s="37"/>
      <c r="S442" s="37"/>
      <c r="T442" s="37"/>
      <c r="U442" s="37"/>
      <c r="V442" s="37"/>
      <c r="W442" s="37"/>
      <c r="X442" s="37"/>
      <c r="Y442" s="37"/>
      <c r="Z442" s="37"/>
      <c r="AA442" s="37"/>
    </row>
    <row r="443" spans="1:27">
      <c r="A443" s="37"/>
      <c r="B443" s="37"/>
      <c r="C443" s="37"/>
      <c r="D443" s="37"/>
      <c r="E443" s="37"/>
      <c r="F443" s="36"/>
      <c r="G443" s="37"/>
      <c r="H443" s="37"/>
      <c r="I443" s="78"/>
      <c r="J443" s="78"/>
      <c r="K443" s="38"/>
      <c r="L443" s="35"/>
      <c r="M443" s="453"/>
      <c r="N443" s="37"/>
      <c r="O443" s="37"/>
      <c r="P443" s="37"/>
      <c r="Q443" s="37"/>
      <c r="R443" s="37"/>
      <c r="S443" s="37"/>
      <c r="T443" s="37"/>
      <c r="U443" s="37"/>
      <c r="V443" s="37"/>
      <c r="W443" s="37"/>
      <c r="X443" s="37"/>
      <c r="Y443" s="37"/>
      <c r="Z443" s="37"/>
      <c r="AA443" s="37"/>
    </row>
    <row r="444" spans="1:27">
      <c r="A444" s="37"/>
      <c r="B444" s="37"/>
      <c r="C444" s="37"/>
      <c r="D444" s="37"/>
      <c r="E444" s="37"/>
      <c r="F444" s="36"/>
      <c r="G444" s="37"/>
      <c r="H444" s="37"/>
      <c r="I444" s="78"/>
      <c r="J444" s="78"/>
      <c r="K444" s="38"/>
      <c r="L444" s="35"/>
      <c r="M444" s="453"/>
      <c r="N444" s="37"/>
      <c r="O444" s="37"/>
      <c r="P444" s="37"/>
      <c r="Q444" s="37"/>
      <c r="R444" s="37"/>
      <c r="S444" s="37"/>
      <c r="T444" s="37"/>
      <c r="U444" s="37"/>
      <c r="V444" s="37"/>
      <c r="W444" s="37"/>
      <c r="X444" s="37"/>
      <c r="Y444" s="37"/>
      <c r="Z444" s="37"/>
      <c r="AA444" s="37"/>
    </row>
    <row r="445" spans="1:27">
      <c r="A445" s="37"/>
      <c r="B445" s="37"/>
      <c r="C445" s="37"/>
      <c r="D445" s="37"/>
      <c r="E445" s="37"/>
      <c r="F445" s="36"/>
      <c r="G445" s="37"/>
      <c r="H445" s="37"/>
      <c r="I445" s="78"/>
      <c r="J445" s="78"/>
      <c r="K445" s="38"/>
      <c r="L445" s="35"/>
      <c r="M445" s="453"/>
      <c r="N445" s="37"/>
      <c r="O445" s="37"/>
      <c r="P445" s="37"/>
      <c r="Q445" s="37"/>
      <c r="R445" s="37"/>
      <c r="S445" s="37"/>
      <c r="T445" s="37"/>
      <c r="U445" s="37"/>
      <c r="V445" s="37"/>
      <c r="W445" s="37"/>
      <c r="X445" s="37"/>
      <c r="Y445" s="37"/>
      <c r="Z445" s="37"/>
      <c r="AA445" s="37"/>
    </row>
    <row r="446" spans="1:27">
      <c r="A446" s="37"/>
      <c r="B446" s="37"/>
      <c r="C446" s="37"/>
      <c r="D446" s="37"/>
      <c r="E446" s="37"/>
      <c r="F446" s="36"/>
      <c r="G446" s="37"/>
      <c r="H446" s="37"/>
      <c r="I446" s="78"/>
      <c r="J446" s="78"/>
      <c r="K446" s="38"/>
      <c r="L446" s="35"/>
      <c r="M446" s="453"/>
      <c r="N446" s="37"/>
      <c r="O446" s="37"/>
      <c r="P446" s="37"/>
      <c r="Q446" s="37"/>
      <c r="R446" s="37"/>
      <c r="S446" s="37"/>
      <c r="T446" s="37"/>
      <c r="U446" s="37"/>
      <c r="V446" s="37"/>
      <c r="W446" s="37"/>
      <c r="X446" s="37"/>
      <c r="Y446" s="37"/>
      <c r="Z446" s="37"/>
      <c r="AA446" s="37"/>
    </row>
    <row r="447" spans="1:27">
      <c r="A447" s="37"/>
      <c r="B447" s="37"/>
      <c r="C447" s="37"/>
      <c r="D447" s="37"/>
      <c r="E447" s="37"/>
      <c r="F447" s="36"/>
      <c r="G447" s="37"/>
      <c r="H447" s="37"/>
      <c r="I447" s="78"/>
      <c r="J447" s="78"/>
      <c r="K447" s="38"/>
      <c r="L447" s="35"/>
      <c r="M447" s="453"/>
      <c r="N447" s="37"/>
      <c r="O447" s="37"/>
      <c r="P447" s="37"/>
      <c r="Q447" s="37"/>
      <c r="R447" s="37"/>
      <c r="S447" s="37"/>
      <c r="T447" s="37"/>
      <c r="U447" s="37"/>
      <c r="V447" s="37"/>
      <c r="W447" s="37"/>
      <c r="X447" s="37"/>
      <c r="Y447" s="37"/>
      <c r="Z447" s="37"/>
      <c r="AA447" s="37"/>
    </row>
    <row r="448" spans="1:27">
      <c r="A448" s="37"/>
      <c r="B448" s="37"/>
      <c r="C448" s="37"/>
      <c r="D448" s="37"/>
      <c r="E448" s="37"/>
      <c r="F448" s="36"/>
      <c r="G448" s="37"/>
      <c r="H448" s="37"/>
      <c r="I448" s="78"/>
      <c r="J448" s="78"/>
      <c r="K448" s="38"/>
      <c r="L448" s="35"/>
      <c r="M448" s="453"/>
      <c r="N448" s="37"/>
      <c r="O448" s="37"/>
      <c r="P448" s="37"/>
      <c r="Q448" s="37"/>
      <c r="R448" s="37"/>
      <c r="S448" s="37"/>
      <c r="T448" s="37"/>
      <c r="U448" s="37"/>
      <c r="V448" s="37"/>
      <c r="W448" s="37"/>
      <c r="X448" s="37"/>
      <c r="Y448" s="37"/>
      <c r="Z448" s="37"/>
      <c r="AA448" s="37"/>
    </row>
    <row r="449" spans="1:27">
      <c r="A449" s="37"/>
      <c r="B449" s="37"/>
      <c r="C449" s="37"/>
      <c r="D449" s="37"/>
      <c r="E449" s="37"/>
      <c r="F449" s="36"/>
      <c r="G449" s="37"/>
      <c r="H449" s="37"/>
      <c r="I449" s="78"/>
      <c r="J449" s="78"/>
      <c r="K449" s="38"/>
      <c r="L449" s="35"/>
      <c r="M449" s="453"/>
      <c r="N449" s="37"/>
      <c r="O449" s="37"/>
      <c r="P449" s="37"/>
      <c r="Q449" s="37"/>
      <c r="R449" s="37"/>
      <c r="S449" s="37"/>
      <c r="T449" s="37"/>
      <c r="U449" s="37"/>
      <c r="V449" s="37"/>
      <c r="W449" s="37"/>
      <c r="X449" s="37"/>
      <c r="Y449" s="37"/>
      <c r="Z449" s="37"/>
      <c r="AA449" s="37"/>
    </row>
    <row r="450" spans="1:27">
      <c r="A450" s="37"/>
      <c r="B450" s="37"/>
      <c r="C450" s="37"/>
      <c r="D450" s="37"/>
      <c r="E450" s="37"/>
      <c r="F450" s="36"/>
      <c r="G450" s="37"/>
      <c r="H450" s="37"/>
      <c r="I450" s="78"/>
      <c r="J450" s="78"/>
      <c r="K450" s="38"/>
      <c r="L450" s="35"/>
      <c r="M450" s="453"/>
      <c r="N450" s="37"/>
      <c r="O450" s="37"/>
      <c r="P450" s="37"/>
      <c r="Q450" s="37"/>
      <c r="R450" s="37"/>
      <c r="S450" s="37"/>
      <c r="T450" s="37"/>
      <c r="U450" s="37"/>
      <c r="V450" s="37"/>
      <c r="W450" s="37"/>
      <c r="X450" s="37"/>
      <c r="Y450" s="37"/>
      <c r="Z450" s="37"/>
      <c r="AA450" s="37"/>
    </row>
    <row r="451" spans="1:27">
      <c r="A451" s="37"/>
      <c r="B451" s="37"/>
      <c r="C451" s="37"/>
      <c r="D451" s="37"/>
      <c r="E451" s="37"/>
      <c r="F451" s="36"/>
      <c r="G451" s="37"/>
      <c r="H451" s="37"/>
      <c r="I451" s="78"/>
      <c r="J451" s="78"/>
      <c r="K451" s="38"/>
      <c r="L451" s="35"/>
      <c r="M451" s="453"/>
      <c r="N451" s="37"/>
      <c r="O451" s="37"/>
      <c r="P451" s="37"/>
      <c r="Q451" s="37"/>
      <c r="R451" s="37"/>
      <c r="S451" s="37"/>
      <c r="T451" s="37"/>
      <c r="U451" s="37"/>
      <c r="V451" s="37"/>
      <c r="W451" s="37"/>
      <c r="X451" s="37"/>
      <c r="Y451" s="37"/>
      <c r="Z451" s="37"/>
      <c r="AA451" s="37"/>
    </row>
    <row r="452" spans="1:27">
      <c r="A452" s="37"/>
      <c r="B452" s="37"/>
      <c r="C452" s="37"/>
      <c r="D452" s="37"/>
      <c r="E452" s="37"/>
      <c r="F452" s="36"/>
      <c r="G452" s="37"/>
      <c r="H452" s="37"/>
      <c r="I452" s="78"/>
      <c r="J452" s="78"/>
      <c r="K452" s="38"/>
      <c r="L452" s="35"/>
      <c r="M452" s="453"/>
      <c r="N452" s="37"/>
      <c r="O452" s="37"/>
      <c r="P452" s="37"/>
      <c r="Q452" s="37"/>
      <c r="R452" s="37"/>
      <c r="S452" s="37"/>
      <c r="T452" s="37"/>
      <c r="U452" s="37"/>
      <c r="V452" s="37"/>
      <c r="W452" s="37"/>
      <c r="X452" s="37"/>
      <c r="Y452" s="37"/>
      <c r="Z452" s="37"/>
      <c r="AA452" s="37"/>
    </row>
    <row r="453" spans="1:27">
      <c r="A453" s="37"/>
      <c r="B453" s="37"/>
      <c r="C453" s="37"/>
      <c r="D453" s="37"/>
      <c r="E453" s="37"/>
      <c r="F453" s="36"/>
      <c r="G453" s="37"/>
      <c r="H453" s="37"/>
      <c r="I453" s="78"/>
      <c r="J453" s="78"/>
      <c r="K453" s="38"/>
      <c r="L453" s="35"/>
      <c r="M453" s="453"/>
      <c r="N453" s="37"/>
      <c r="O453" s="37"/>
      <c r="P453" s="37"/>
      <c r="Q453" s="37"/>
      <c r="R453" s="37"/>
      <c r="S453" s="37"/>
      <c r="T453" s="37"/>
      <c r="U453" s="37"/>
      <c r="V453" s="37"/>
      <c r="W453" s="37"/>
      <c r="X453" s="37"/>
      <c r="Y453" s="37"/>
      <c r="Z453" s="37"/>
      <c r="AA453" s="37"/>
    </row>
    <row r="454" spans="1:27">
      <c r="A454" s="37"/>
      <c r="B454" s="37"/>
      <c r="C454" s="37"/>
      <c r="D454" s="37"/>
      <c r="E454" s="37"/>
      <c r="F454" s="36"/>
      <c r="G454" s="37"/>
      <c r="H454" s="37"/>
      <c r="I454" s="78"/>
      <c r="J454" s="78"/>
      <c r="K454" s="38"/>
      <c r="L454" s="35"/>
      <c r="M454" s="453"/>
      <c r="N454" s="37"/>
      <c r="O454" s="37"/>
      <c r="P454" s="37"/>
      <c r="Q454" s="37"/>
      <c r="R454" s="37"/>
      <c r="S454" s="37"/>
      <c r="T454" s="37"/>
      <c r="U454" s="37"/>
      <c r="V454" s="37"/>
      <c r="W454" s="37"/>
      <c r="X454" s="37"/>
      <c r="Y454" s="37"/>
      <c r="Z454" s="37"/>
      <c r="AA454" s="37"/>
    </row>
    <row r="455" spans="1:27">
      <c r="A455" s="37"/>
      <c r="B455" s="37"/>
      <c r="C455" s="37"/>
      <c r="D455" s="37"/>
      <c r="E455" s="37"/>
      <c r="F455" s="36"/>
      <c r="G455" s="37"/>
      <c r="H455" s="37"/>
      <c r="I455" s="78"/>
      <c r="J455" s="78"/>
      <c r="K455" s="38"/>
      <c r="L455" s="35"/>
      <c r="M455" s="453"/>
      <c r="N455" s="37"/>
      <c r="O455" s="37"/>
      <c r="P455" s="37"/>
      <c r="Q455" s="37"/>
      <c r="R455" s="37"/>
      <c r="S455" s="37"/>
      <c r="T455" s="37"/>
      <c r="U455" s="37"/>
      <c r="V455" s="37"/>
      <c r="W455" s="37"/>
      <c r="X455" s="37"/>
      <c r="Y455" s="37"/>
      <c r="Z455" s="37"/>
      <c r="AA455" s="37"/>
    </row>
    <row r="456" spans="1:27">
      <c r="A456" s="37"/>
      <c r="B456" s="37"/>
      <c r="C456" s="37"/>
      <c r="D456" s="37"/>
      <c r="E456" s="37"/>
      <c r="F456" s="36"/>
      <c r="G456" s="37"/>
      <c r="H456" s="37"/>
      <c r="I456" s="78"/>
      <c r="J456" s="78"/>
      <c r="K456" s="38"/>
      <c r="L456" s="35"/>
      <c r="M456" s="453"/>
      <c r="N456" s="37"/>
      <c r="O456" s="37"/>
      <c r="P456" s="37"/>
      <c r="Q456" s="37"/>
      <c r="R456" s="37"/>
      <c r="S456" s="37"/>
      <c r="T456" s="37"/>
      <c r="U456" s="37"/>
      <c r="V456" s="37"/>
      <c r="W456" s="37"/>
      <c r="X456" s="37"/>
      <c r="Y456" s="37"/>
      <c r="Z456" s="37"/>
      <c r="AA456" s="37"/>
    </row>
    <row r="457" spans="1:27">
      <c r="A457" s="37"/>
      <c r="B457" s="37"/>
      <c r="C457" s="37"/>
      <c r="D457" s="37"/>
      <c r="E457" s="37"/>
      <c r="F457" s="36"/>
      <c r="G457" s="37"/>
      <c r="H457" s="37"/>
      <c r="I457" s="78"/>
      <c r="J457" s="78"/>
      <c r="K457" s="38"/>
      <c r="L457" s="35"/>
      <c r="M457" s="453"/>
      <c r="N457" s="37"/>
      <c r="O457" s="37"/>
      <c r="P457" s="37"/>
      <c r="Q457" s="37"/>
      <c r="R457" s="37"/>
      <c r="S457" s="37"/>
      <c r="T457" s="37"/>
      <c r="U457" s="37"/>
      <c r="V457" s="37"/>
      <c r="W457" s="37"/>
      <c r="X457" s="37"/>
      <c r="Y457" s="37"/>
      <c r="Z457" s="37"/>
      <c r="AA457" s="37"/>
    </row>
    <row r="458" spans="1:27">
      <c r="A458" s="37"/>
      <c r="B458" s="37"/>
      <c r="C458" s="37"/>
      <c r="D458" s="37"/>
      <c r="E458" s="37"/>
      <c r="F458" s="36"/>
      <c r="G458" s="37"/>
      <c r="H458" s="37"/>
      <c r="I458" s="78"/>
      <c r="J458" s="78"/>
      <c r="K458" s="38"/>
      <c r="L458" s="35"/>
      <c r="M458" s="453"/>
      <c r="N458" s="37"/>
      <c r="O458" s="37"/>
      <c r="P458" s="37"/>
      <c r="Q458" s="37"/>
      <c r="R458" s="37"/>
      <c r="S458" s="37"/>
      <c r="T458" s="37"/>
      <c r="U458" s="37"/>
      <c r="V458" s="37"/>
      <c r="W458" s="37"/>
      <c r="X458" s="37"/>
      <c r="Y458" s="37"/>
      <c r="Z458" s="37"/>
      <c r="AA458" s="37"/>
    </row>
    <row r="459" spans="1:27">
      <c r="A459" s="37"/>
      <c r="B459" s="37"/>
      <c r="C459" s="37"/>
      <c r="D459" s="37"/>
      <c r="E459" s="37"/>
      <c r="F459" s="36"/>
      <c r="G459" s="37"/>
      <c r="H459" s="37"/>
      <c r="I459" s="78"/>
      <c r="J459" s="78"/>
      <c r="K459" s="38"/>
      <c r="L459" s="35"/>
      <c r="M459" s="453"/>
      <c r="N459" s="37"/>
      <c r="O459" s="37"/>
      <c r="P459" s="37"/>
      <c r="Q459" s="37"/>
      <c r="R459" s="37"/>
      <c r="S459" s="37"/>
      <c r="T459" s="37"/>
      <c r="U459" s="37"/>
      <c r="V459" s="37"/>
      <c r="W459" s="37"/>
      <c r="X459" s="37"/>
      <c r="Y459" s="37"/>
      <c r="Z459" s="37"/>
      <c r="AA459" s="37"/>
    </row>
    <row r="460" spans="1:27">
      <c r="A460" s="37"/>
      <c r="B460" s="37"/>
      <c r="C460" s="37"/>
      <c r="D460" s="37"/>
      <c r="E460" s="37"/>
      <c r="F460" s="36"/>
      <c r="G460" s="37"/>
      <c r="H460" s="37"/>
      <c r="I460" s="78"/>
      <c r="J460" s="78"/>
      <c r="K460" s="38"/>
      <c r="L460" s="35"/>
      <c r="M460" s="453"/>
      <c r="N460" s="37"/>
      <c r="O460" s="37"/>
      <c r="P460" s="37"/>
      <c r="Q460" s="37"/>
      <c r="R460" s="37"/>
      <c r="S460" s="37"/>
      <c r="T460" s="37"/>
      <c r="U460" s="37"/>
      <c r="V460" s="37"/>
      <c r="W460" s="37"/>
      <c r="X460" s="37"/>
      <c r="Y460" s="37"/>
      <c r="Z460" s="37"/>
      <c r="AA460" s="37"/>
    </row>
    <row r="461" spans="1:27">
      <c r="A461" s="37"/>
      <c r="B461" s="37"/>
      <c r="C461" s="37"/>
      <c r="D461" s="37"/>
      <c r="E461" s="37"/>
      <c r="F461" s="36"/>
      <c r="G461" s="37"/>
      <c r="H461" s="37"/>
      <c r="I461" s="78"/>
      <c r="J461" s="78"/>
      <c r="K461" s="38"/>
      <c r="L461" s="35"/>
      <c r="M461" s="453"/>
      <c r="N461" s="37"/>
      <c r="O461" s="37"/>
      <c r="P461" s="37"/>
      <c r="Q461" s="37"/>
      <c r="R461" s="37"/>
      <c r="S461" s="37"/>
      <c r="T461" s="37"/>
      <c r="U461" s="37"/>
      <c r="V461" s="37"/>
      <c r="W461" s="37"/>
      <c r="X461" s="37"/>
      <c r="Y461" s="37"/>
      <c r="Z461" s="37"/>
      <c r="AA461" s="37"/>
    </row>
    <row r="462" spans="1:27">
      <c r="A462" s="37"/>
      <c r="B462" s="37"/>
      <c r="C462" s="37"/>
      <c r="D462" s="37"/>
      <c r="E462" s="37"/>
      <c r="F462" s="36"/>
      <c r="G462" s="37"/>
      <c r="H462" s="37"/>
      <c r="I462" s="78"/>
      <c r="J462" s="78"/>
      <c r="K462" s="38"/>
      <c r="L462" s="35"/>
      <c r="M462" s="453"/>
      <c r="N462" s="37"/>
      <c r="O462" s="37"/>
      <c r="P462" s="37"/>
      <c r="Q462" s="37"/>
      <c r="R462" s="37"/>
      <c r="S462" s="37"/>
      <c r="T462" s="37"/>
      <c r="U462" s="37"/>
      <c r="V462" s="37"/>
      <c r="W462" s="37"/>
      <c r="X462" s="37"/>
      <c r="Y462" s="37"/>
      <c r="Z462" s="37"/>
      <c r="AA462" s="37"/>
    </row>
    <row r="463" spans="1:27">
      <c r="A463" s="37"/>
      <c r="B463" s="37"/>
      <c r="C463" s="37"/>
      <c r="D463" s="37"/>
      <c r="E463" s="37"/>
      <c r="F463" s="36"/>
      <c r="G463" s="37"/>
      <c r="H463" s="37"/>
      <c r="I463" s="78"/>
      <c r="J463" s="78"/>
      <c r="K463" s="38"/>
      <c r="L463" s="35"/>
      <c r="M463" s="453"/>
      <c r="N463" s="37"/>
      <c r="O463" s="37"/>
      <c r="P463" s="37"/>
      <c r="Q463" s="37"/>
      <c r="R463" s="37"/>
      <c r="S463" s="37"/>
      <c r="T463" s="37"/>
      <c r="U463" s="37"/>
      <c r="V463" s="37"/>
      <c r="W463" s="37"/>
      <c r="X463" s="37"/>
      <c r="Y463" s="37"/>
      <c r="Z463" s="37"/>
      <c r="AA463" s="37"/>
    </row>
    <row r="464" spans="1:27">
      <c r="A464" s="37"/>
      <c r="B464" s="37"/>
      <c r="C464" s="37"/>
      <c r="D464" s="37"/>
      <c r="E464" s="37"/>
      <c r="F464" s="36"/>
      <c r="G464" s="37"/>
      <c r="H464" s="37"/>
      <c r="I464" s="78"/>
      <c r="J464" s="78"/>
      <c r="K464" s="38"/>
      <c r="L464" s="35"/>
      <c r="M464" s="453"/>
      <c r="N464" s="37"/>
      <c r="O464" s="37"/>
      <c r="P464" s="37"/>
      <c r="Q464" s="37"/>
      <c r="R464" s="37"/>
      <c r="S464" s="37"/>
      <c r="T464" s="37"/>
      <c r="U464" s="37"/>
      <c r="V464" s="37"/>
      <c r="W464" s="37"/>
      <c r="X464" s="37"/>
      <c r="Y464" s="37"/>
      <c r="Z464" s="37"/>
      <c r="AA464" s="37"/>
    </row>
    <row r="465" spans="1:27">
      <c r="A465" s="37"/>
      <c r="B465" s="37"/>
      <c r="C465" s="37"/>
      <c r="D465" s="37"/>
      <c r="E465" s="37"/>
      <c r="F465" s="36"/>
      <c r="G465" s="37"/>
      <c r="H465" s="37"/>
      <c r="I465" s="78"/>
      <c r="J465" s="78"/>
      <c r="K465" s="38"/>
      <c r="L465" s="35"/>
      <c r="M465" s="453"/>
      <c r="N465" s="37"/>
      <c r="O465" s="37"/>
      <c r="P465" s="37"/>
      <c r="Q465" s="37"/>
      <c r="R465" s="37"/>
      <c r="S465" s="37"/>
      <c r="T465" s="37"/>
      <c r="U465" s="37"/>
      <c r="V465" s="37"/>
      <c r="W465" s="37"/>
      <c r="X465" s="37"/>
      <c r="Y465" s="37"/>
      <c r="Z465" s="37"/>
      <c r="AA465" s="37"/>
    </row>
    <row r="466" spans="1:27">
      <c r="A466" s="37"/>
      <c r="B466" s="37"/>
      <c r="C466" s="37"/>
      <c r="D466" s="37"/>
      <c r="E466" s="37"/>
      <c r="F466" s="36"/>
      <c r="G466" s="37"/>
      <c r="H466" s="37"/>
      <c r="I466" s="78"/>
      <c r="J466" s="78"/>
      <c r="K466" s="38"/>
      <c r="L466" s="35"/>
      <c r="M466" s="453"/>
      <c r="N466" s="37"/>
      <c r="O466" s="37"/>
      <c r="P466" s="37"/>
      <c r="Q466" s="37"/>
      <c r="R466" s="37"/>
      <c r="S466" s="37"/>
      <c r="T466" s="37"/>
      <c r="U466" s="37"/>
      <c r="V466" s="37"/>
      <c r="W466" s="37"/>
      <c r="X466" s="37"/>
      <c r="Y466" s="37"/>
      <c r="Z466" s="37"/>
      <c r="AA466" s="37"/>
    </row>
    <row r="467" spans="1:27">
      <c r="A467" s="37"/>
      <c r="B467" s="37"/>
      <c r="C467" s="37"/>
      <c r="D467" s="37"/>
      <c r="E467" s="37"/>
      <c r="F467" s="36"/>
      <c r="G467" s="37"/>
      <c r="H467" s="37"/>
      <c r="I467" s="78"/>
      <c r="J467" s="78"/>
      <c r="K467" s="38"/>
      <c r="L467" s="35"/>
      <c r="M467" s="453"/>
      <c r="N467" s="37"/>
      <c r="O467" s="37"/>
      <c r="P467" s="37"/>
      <c r="Q467" s="37"/>
      <c r="R467" s="37"/>
      <c r="S467" s="37"/>
      <c r="T467" s="37"/>
      <c r="U467" s="37"/>
      <c r="V467" s="37"/>
      <c r="W467" s="37"/>
      <c r="X467" s="37"/>
      <c r="Y467" s="37"/>
      <c r="Z467" s="37"/>
      <c r="AA467" s="37"/>
    </row>
    <row r="468" spans="1:27">
      <c r="A468" s="37"/>
      <c r="B468" s="37"/>
      <c r="C468" s="37"/>
      <c r="D468" s="37"/>
      <c r="E468" s="37"/>
      <c r="F468" s="36"/>
      <c r="G468" s="37"/>
      <c r="H468" s="37"/>
      <c r="I468" s="78"/>
      <c r="J468" s="78"/>
      <c r="K468" s="38"/>
      <c r="L468" s="35"/>
      <c r="M468" s="453"/>
      <c r="N468" s="37"/>
      <c r="O468" s="37"/>
      <c r="P468" s="37"/>
      <c r="Q468" s="37"/>
      <c r="R468" s="37"/>
      <c r="S468" s="37"/>
      <c r="T468" s="37"/>
      <c r="U468" s="37"/>
      <c r="V468" s="37"/>
      <c r="W468" s="37"/>
      <c r="X468" s="37"/>
      <c r="Y468" s="37"/>
      <c r="Z468" s="37"/>
      <c r="AA468" s="37"/>
    </row>
    <row r="469" spans="1:27">
      <c r="A469" s="37"/>
      <c r="B469" s="37"/>
      <c r="C469" s="37"/>
      <c r="D469" s="37"/>
      <c r="E469" s="37"/>
      <c r="F469" s="36"/>
      <c r="G469" s="37"/>
      <c r="H469" s="37"/>
      <c r="I469" s="78"/>
      <c r="J469" s="78"/>
      <c r="K469" s="38"/>
      <c r="L469" s="35"/>
      <c r="M469" s="453"/>
      <c r="N469" s="37"/>
      <c r="O469" s="37"/>
      <c r="P469" s="37"/>
      <c r="Q469" s="37"/>
      <c r="R469" s="37"/>
      <c r="S469" s="37"/>
      <c r="T469" s="37"/>
      <c r="U469" s="37"/>
      <c r="V469" s="37"/>
      <c r="W469" s="37"/>
      <c r="X469" s="37"/>
      <c r="Y469" s="37"/>
      <c r="Z469" s="37"/>
      <c r="AA469" s="37"/>
    </row>
    <row r="470" spans="1:27">
      <c r="A470" s="37"/>
      <c r="B470" s="37"/>
      <c r="C470" s="37"/>
      <c r="D470" s="37"/>
      <c r="E470" s="37"/>
      <c r="F470" s="36"/>
      <c r="G470" s="37"/>
      <c r="H470" s="37"/>
      <c r="I470" s="78"/>
      <c r="J470" s="78"/>
      <c r="K470" s="38"/>
      <c r="L470" s="35"/>
      <c r="M470" s="453"/>
      <c r="N470" s="37"/>
      <c r="O470" s="37"/>
      <c r="P470" s="37"/>
      <c r="Q470" s="37"/>
      <c r="R470" s="37"/>
      <c r="S470" s="37"/>
      <c r="T470" s="37"/>
      <c r="U470" s="37"/>
      <c r="V470" s="37"/>
      <c r="W470" s="37"/>
      <c r="X470" s="37"/>
      <c r="Y470" s="37"/>
      <c r="Z470" s="37"/>
      <c r="AA470" s="37"/>
    </row>
    <row r="471" spans="1:27">
      <c r="A471" s="37"/>
      <c r="B471" s="37"/>
      <c r="C471" s="37"/>
      <c r="D471" s="37"/>
      <c r="E471" s="37"/>
      <c r="F471" s="36"/>
      <c r="G471" s="37"/>
      <c r="H471" s="37"/>
      <c r="I471" s="78"/>
      <c r="J471" s="78"/>
      <c r="K471" s="38"/>
      <c r="L471" s="35"/>
      <c r="M471" s="453"/>
      <c r="N471" s="37"/>
      <c r="O471" s="37"/>
      <c r="P471" s="37"/>
      <c r="Q471" s="37"/>
      <c r="R471" s="37"/>
      <c r="S471" s="37"/>
      <c r="T471" s="37"/>
      <c r="U471" s="37"/>
      <c r="V471" s="37"/>
      <c r="W471" s="37"/>
      <c r="X471" s="37"/>
      <c r="Y471" s="37"/>
      <c r="Z471" s="37"/>
      <c r="AA471" s="37"/>
    </row>
    <row r="472" spans="1:27">
      <c r="A472" s="37"/>
      <c r="B472" s="37"/>
      <c r="C472" s="37"/>
      <c r="D472" s="37"/>
      <c r="E472" s="37"/>
      <c r="F472" s="36"/>
      <c r="G472" s="37"/>
      <c r="H472" s="37"/>
      <c r="I472" s="78"/>
      <c r="J472" s="78"/>
      <c r="K472" s="38"/>
      <c r="L472" s="35"/>
      <c r="M472" s="453"/>
      <c r="N472" s="37"/>
      <c r="O472" s="37"/>
      <c r="P472" s="37"/>
      <c r="Q472" s="37"/>
      <c r="R472" s="37"/>
      <c r="S472" s="37"/>
      <c r="T472" s="37"/>
      <c r="U472" s="37"/>
      <c r="V472" s="37"/>
      <c r="W472" s="37"/>
      <c r="X472" s="37"/>
      <c r="Y472" s="37"/>
      <c r="Z472" s="37"/>
      <c r="AA472" s="37"/>
    </row>
    <row r="473" spans="1:27">
      <c r="A473" s="37"/>
      <c r="B473" s="37"/>
      <c r="C473" s="37"/>
      <c r="D473" s="37"/>
      <c r="E473" s="37"/>
      <c r="F473" s="36"/>
      <c r="G473" s="37"/>
      <c r="H473" s="37"/>
      <c r="I473" s="78"/>
      <c r="J473" s="78"/>
      <c r="K473" s="38"/>
      <c r="L473" s="35"/>
      <c r="M473" s="453"/>
      <c r="N473" s="37"/>
      <c r="O473" s="37"/>
      <c r="P473" s="37"/>
      <c r="Q473" s="37"/>
      <c r="R473" s="37"/>
      <c r="S473" s="37"/>
      <c r="T473" s="37"/>
      <c r="U473" s="37"/>
      <c r="V473" s="37"/>
      <c r="W473" s="37"/>
      <c r="X473" s="37"/>
      <c r="Y473" s="37"/>
      <c r="Z473" s="37"/>
      <c r="AA473" s="37"/>
    </row>
    <row r="474" spans="1:27">
      <c r="A474" s="37"/>
      <c r="B474" s="37"/>
      <c r="C474" s="37"/>
      <c r="D474" s="37"/>
      <c r="E474" s="37"/>
      <c r="F474" s="36"/>
      <c r="G474" s="37"/>
      <c r="H474" s="37"/>
      <c r="I474" s="78"/>
      <c r="J474" s="78"/>
      <c r="K474" s="38"/>
      <c r="L474" s="35"/>
      <c r="M474" s="453"/>
      <c r="N474" s="37"/>
      <c r="O474" s="37"/>
      <c r="P474" s="37"/>
      <c r="Q474" s="37"/>
      <c r="R474" s="37"/>
      <c r="S474" s="37"/>
      <c r="T474" s="37"/>
      <c r="U474" s="37"/>
      <c r="V474" s="37"/>
      <c r="W474" s="37"/>
      <c r="X474" s="37"/>
      <c r="Y474" s="37"/>
      <c r="Z474" s="37"/>
      <c r="AA474" s="37"/>
    </row>
    <row r="475" spans="1:27">
      <c r="A475" s="37"/>
      <c r="B475" s="37"/>
      <c r="C475" s="37"/>
      <c r="D475" s="37"/>
      <c r="E475" s="37"/>
      <c r="F475" s="36"/>
      <c r="G475" s="37"/>
      <c r="H475" s="37"/>
      <c r="I475" s="78"/>
      <c r="J475" s="78"/>
      <c r="K475" s="38"/>
      <c r="L475" s="35"/>
      <c r="M475" s="453"/>
      <c r="N475" s="37"/>
      <c r="O475" s="37"/>
      <c r="P475" s="37"/>
      <c r="Q475" s="37"/>
      <c r="R475" s="37"/>
      <c r="S475" s="37"/>
      <c r="T475" s="37"/>
      <c r="U475" s="37"/>
      <c r="V475" s="37"/>
      <c r="W475" s="37"/>
      <c r="X475" s="37"/>
      <c r="Y475" s="37"/>
      <c r="Z475" s="37"/>
      <c r="AA475" s="37"/>
    </row>
    <row r="476" spans="1:27">
      <c r="A476" s="37"/>
      <c r="B476" s="37"/>
      <c r="C476" s="37"/>
      <c r="D476" s="37"/>
      <c r="E476" s="37"/>
      <c r="F476" s="36"/>
      <c r="G476" s="37"/>
      <c r="H476" s="37"/>
      <c r="I476" s="78"/>
      <c r="J476" s="78"/>
      <c r="K476" s="38"/>
      <c r="L476" s="35"/>
      <c r="M476" s="453"/>
      <c r="N476" s="37"/>
      <c r="O476" s="37"/>
      <c r="P476" s="37"/>
      <c r="Q476" s="37"/>
      <c r="R476" s="37"/>
      <c r="S476" s="37"/>
      <c r="T476" s="37"/>
      <c r="U476" s="37"/>
      <c r="V476" s="37"/>
      <c r="W476" s="37"/>
      <c r="X476" s="37"/>
      <c r="Y476" s="37"/>
      <c r="Z476" s="37"/>
      <c r="AA476" s="37"/>
    </row>
    <row r="477" spans="1:27">
      <c r="A477" s="37"/>
      <c r="B477" s="37"/>
      <c r="C477" s="37"/>
      <c r="D477" s="37"/>
      <c r="E477" s="37"/>
      <c r="F477" s="36"/>
      <c r="G477" s="37"/>
      <c r="H477" s="37"/>
      <c r="I477" s="78"/>
      <c r="J477" s="78"/>
      <c r="K477" s="38"/>
      <c r="L477" s="35"/>
      <c r="M477" s="453"/>
      <c r="N477" s="37"/>
      <c r="O477" s="37"/>
      <c r="P477" s="37"/>
      <c r="Q477" s="37"/>
      <c r="R477" s="37"/>
      <c r="S477" s="37"/>
      <c r="T477" s="37"/>
      <c r="U477" s="37"/>
      <c r="V477" s="37"/>
      <c r="W477" s="37"/>
      <c r="X477" s="37"/>
      <c r="Y477" s="37"/>
      <c r="Z477" s="37"/>
      <c r="AA477" s="37"/>
    </row>
    <row r="478" spans="1:27">
      <c r="A478" s="37"/>
      <c r="B478" s="37"/>
      <c r="C478" s="37"/>
      <c r="D478" s="37"/>
      <c r="E478" s="37"/>
      <c r="F478" s="36"/>
      <c r="G478" s="37"/>
      <c r="H478" s="37"/>
      <c r="I478" s="78"/>
      <c r="J478" s="78"/>
      <c r="K478" s="38"/>
      <c r="L478" s="35"/>
      <c r="M478" s="453"/>
      <c r="N478" s="37"/>
      <c r="O478" s="37"/>
      <c r="P478" s="37"/>
      <c r="Q478" s="37"/>
      <c r="R478" s="37"/>
      <c r="S478" s="37"/>
      <c r="T478" s="37"/>
      <c r="U478" s="37"/>
      <c r="V478" s="37"/>
      <c r="W478" s="37"/>
      <c r="X478" s="37"/>
      <c r="Y478" s="37"/>
      <c r="Z478" s="37"/>
      <c r="AA478" s="37"/>
    </row>
    <row r="479" spans="1:27">
      <c r="A479" s="37"/>
      <c r="B479" s="37"/>
      <c r="C479" s="37"/>
      <c r="D479" s="37"/>
      <c r="E479" s="37"/>
      <c r="F479" s="36"/>
      <c r="G479" s="37"/>
      <c r="H479" s="37"/>
      <c r="I479" s="78"/>
      <c r="J479" s="78"/>
      <c r="K479" s="38"/>
      <c r="L479" s="35"/>
      <c r="M479" s="453"/>
      <c r="N479" s="37"/>
      <c r="O479" s="37"/>
      <c r="P479" s="37"/>
      <c r="Q479" s="37"/>
      <c r="R479" s="37"/>
      <c r="S479" s="37"/>
      <c r="T479" s="37"/>
      <c r="U479" s="37"/>
      <c r="V479" s="37"/>
      <c r="W479" s="37"/>
      <c r="X479" s="37"/>
      <c r="Y479" s="37"/>
      <c r="Z479" s="37"/>
      <c r="AA479" s="37"/>
    </row>
    <row r="480" spans="1:27">
      <c r="A480" s="37"/>
      <c r="B480" s="37"/>
      <c r="C480" s="37"/>
      <c r="D480" s="37"/>
      <c r="E480" s="37"/>
      <c r="F480" s="36"/>
      <c r="G480" s="37"/>
      <c r="H480" s="37"/>
      <c r="I480" s="78"/>
      <c r="J480" s="78"/>
      <c r="K480" s="38"/>
      <c r="L480" s="35"/>
      <c r="M480" s="453"/>
      <c r="N480" s="37"/>
      <c r="O480" s="37"/>
      <c r="P480" s="37"/>
      <c r="Q480" s="37"/>
      <c r="R480" s="37"/>
      <c r="S480" s="37"/>
      <c r="T480" s="37"/>
      <c r="U480" s="37"/>
      <c r="V480" s="37"/>
      <c r="W480" s="37"/>
      <c r="X480" s="37"/>
      <c r="Y480" s="37"/>
      <c r="Z480" s="37"/>
      <c r="AA480" s="37"/>
    </row>
    <row r="481" spans="1:27">
      <c r="A481" s="37"/>
      <c r="B481" s="37"/>
      <c r="C481" s="37"/>
      <c r="D481" s="37"/>
      <c r="E481" s="37"/>
      <c r="F481" s="36"/>
      <c r="G481" s="37"/>
      <c r="H481" s="37"/>
      <c r="I481" s="78"/>
      <c r="J481" s="78"/>
      <c r="K481" s="38"/>
      <c r="L481" s="35"/>
      <c r="M481" s="453"/>
      <c r="N481" s="37"/>
      <c r="O481" s="37"/>
      <c r="P481" s="37"/>
      <c r="Q481" s="37"/>
      <c r="R481" s="37"/>
      <c r="S481" s="37"/>
      <c r="T481" s="37"/>
      <c r="U481" s="37"/>
      <c r="V481" s="37"/>
      <c r="W481" s="37"/>
      <c r="X481" s="37"/>
      <c r="Y481" s="37"/>
      <c r="Z481" s="37"/>
      <c r="AA481" s="37"/>
    </row>
    <row r="482" spans="1:27">
      <c r="A482" s="37"/>
      <c r="B482" s="37"/>
      <c r="C482" s="37"/>
      <c r="D482" s="37"/>
      <c r="E482" s="37"/>
      <c r="F482" s="36"/>
      <c r="G482" s="37"/>
      <c r="H482" s="37"/>
      <c r="I482" s="78"/>
      <c r="J482" s="78"/>
      <c r="K482" s="38"/>
      <c r="L482" s="35"/>
      <c r="M482" s="453"/>
      <c r="N482" s="37"/>
      <c r="O482" s="37"/>
      <c r="P482" s="37"/>
      <c r="Q482" s="37"/>
      <c r="R482" s="37"/>
      <c r="S482" s="37"/>
      <c r="T482" s="37"/>
      <c r="U482" s="37"/>
      <c r="V482" s="37"/>
      <c r="W482" s="37"/>
      <c r="X482" s="37"/>
      <c r="Y482" s="37"/>
      <c r="Z482" s="37"/>
      <c r="AA482" s="37"/>
    </row>
    <row r="483" spans="1:27">
      <c r="A483" s="37"/>
      <c r="B483" s="37"/>
      <c r="C483" s="37"/>
      <c r="D483" s="37"/>
      <c r="E483" s="37"/>
      <c r="F483" s="36"/>
      <c r="G483" s="37"/>
      <c r="H483" s="37"/>
      <c r="I483" s="78"/>
      <c r="J483" s="78"/>
      <c r="K483" s="38"/>
      <c r="L483" s="35"/>
      <c r="M483" s="453"/>
      <c r="N483" s="37"/>
      <c r="O483" s="37"/>
      <c r="P483" s="37"/>
      <c r="Q483" s="37"/>
      <c r="R483" s="37"/>
      <c r="S483" s="37"/>
      <c r="T483" s="37"/>
      <c r="U483" s="37"/>
      <c r="V483" s="37"/>
      <c r="W483" s="37"/>
      <c r="X483" s="37"/>
      <c r="Y483" s="37"/>
      <c r="Z483" s="37"/>
      <c r="AA483" s="37"/>
    </row>
    <row r="484" spans="1:27">
      <c r="A484" s="37"/>
      <c r="B484" s="37"/>
      <c r="C484" s="37"/>
      <c r="D484" s="37"/>
      <c r="E484" s="37"/>
      <c r="F484" s="36"/>
      <c r="G484" s="37"/>
      <c r="H484" s="37"/>
      <c r="I484" s="78"/>
      <c r="J484" s="78"/>
      <c r="K484" s="38"/>
      <c r="L484" s="35"/>
      <c r="M484" s="453"/>
      <c r="N484" s="37"/>
      <c r="O484" s="37"/>
      <c r="P484" s="37"/>
      <c r="Q484" s="37"/>
      <c r="R484" s="37"/>
      <c r="S484" s="37"/>
      <c r="T484" s="37"/>
      <c r="U484" s="37"/>
      <c r="V484" s="37"/>
      <c r="W484" s="37"/>
      <c r="X484" s="37"/>
      <c r="Y484" s="37"/>
      <c r="Z484" s="37"/>
      <c r="AA484" s="37"/>
    </row>
    <row r="485" spans="1:27">
      <c r="A485" s="37"/>
      <c r="B485" s="37"/>
      <c r="C485" s="37"/>
      <c r="D485" s="37"/>
      <c r="E485" s="37"/>
      <c r="F485" s="36"/>
      <c r="G485" s="37"/>
      <c r="H485" s="37"/>
      <c r="I485" s="78"/>
      <c r="J485" s="78"/>
      <c r="K485" s="38"/>
      <c r="L485" s="35"/>
      <c r="M485" s="453"/>
      <c r="N485" s="37"/>
      <c r="O485" s="37"/>
      <c r="P485" s="37"/>
      <c r="Q485" s="37"/>
      <c r="R485" s="37"/>
      <c r="S485" s="37"/>
      <c r="T485" s="37"/>
      <c r="U485" s="37"/>
      <c r="V485" s="37"/>
      <c r="W485" s="37"/>
      <c r="X485" s="37"/>
      <c r="Y485" s="37"/>
      <c r="Z485" s="37"/>
      <c r="AA485" s="37"/>
    </row>
    <row r="486" spans="1:27">
      <c r="A486" s="37"/>
      <c r="B486" s="37"/>
      <c r="C486" s="37"/>
      <c r="D486" s="37"/>
      <c r="E486" s="37"/>
      <c r="F486" s="36"/>
      <c r="G486" s="37"/>
      <c r="H486" s="37"/>
      <c r="I486" s="78"/>
      <c r="J486" s="78"/>
      <c r="K486" s="38"/>
      <c r="L486" s="35"/>
      <c r="M486" s="453"/>
      <c r="N486" s="37"/>
      <c r="O486" s="37"/>
      <c r="P486" s="37"/>
      <c r="Q486" s="37"/>
      <c r="R486" s="37"/>
      <c r="S486" s="37"/>
      <c r="T486" s="37"/>
      <c r="U486" s="37"/>
      <c r="V486" s="37"/>
      <c r="W486" s="37"/>
      <c r="X486" s="37"/>
      <c r="Y486" s="37"/>
      <c r="Z486" s="37"/>
      <c r="AA486" s="37"/>
    </row>
    <row r="487" spans="1:27">
      <c r="A487" s="37"/>
      <c r="B487" s="37"/>
      <c r="C487" s="37"/>
      <c r="D487" s="37"/>
      <c r="E487" s="37"/>
      <c r="F487" s="36"/>
      <c r="G487" s="37"/>
      <c r="H487" s="37"/>
      <c r="I487" s="78"/>
      <c r="J487" s="78"/>
      <c r="K487" s="38"/>
      <c r="L487" s="35"/>
      <c r="M487" s="453"/>
      <c r="N487" s="37"/>
      <c r="O487" s="37"/>
      <c r="P487" s="37"/>
      <c r="Q487" s="37"/>
      <c r="R487" s="37"/>
      <c r="S487" s="37"/>
      <c r="T487" s="37"/>
      <c r="U487" s="37"/>
      <c r="V487" s="37"/>
      <c r="W487" s="37"/>
      <c r="X487" s="37"/>
      <c r="Y487" s="37"/>
      <c r="Z487" s="37"/>
      <c r="AA487" s="37"/>
    </row>
    <row r="488" spans="1:27">
      <c r="A488" s="37"/>
      <c r="B488" s="37"/>
      <c r="C488" s="37"/>
      <c r="D488" s="37"/>
      <c r="E488" s="37"/>
      <c r="F488" s="36"/>
      <c r="G488" s="37"/>
      <c r="H488" s="37"/>
      <c r="I488" s="78"/>
      <c r="J488" s="78"/>
      <c r="K488" s="38"/>
      <c r="L488" s="35"/>
      <c r="M488" s="453"/>
      <c r="N488" s="37"/>
      <c r="O488" s="37"/>
      <c r="P488" s="37"/>
      <c r="Q488" s="37"/>
      <c r="R488" s="37"/>
      <c r="S488" s="37"/>
      <c r="T488" s="37"/>
      <c r="U488" s="37"/>
      <c r="V488" s="37"/>
      <c r="W488" s="37"/>
      <c r="X488" s="37"/>
      <c r="Y488" s="37"/>
      <c r="Z488" s="37"/>
      <c r="AA488" s="37"/>
    </row>
    <row r="489" spans="1:27">
      <c r="A489" s="37"/>
      <c r="B489" s="37"/>
      <c r="C489" s="37"/>
      <c r="D489" s="37"/>
      <c r="E489" s="37"/>
      <c r="F489" s="36"/>
      <c r="G489" s="37"/>
      <c r="H489" s="37"/>
      <c r="I489" s="78"/>
      <c r="J489" s="78"/>
      <c r="K489" s="38"/>
      <c r="L489" s="35"/>
      <c r="M489" s="453"/>
      <c r="N489" s="37"/>
      <c r="O489" s="37"/>
      <c r="P489" s="37"/>
      <c r="Q489" s="37"/>
      <c r="R489" s="37"/>
      <c r="S489" s="37"/>
      <c r="T489" s="37"/>
      <c r="U489" s="37"/>
      <c r="V489" s="37"/>
      <c r="W489" s="37"/>
      <c r="X489" s="37"/>
      <c r="Y489" s="37"/>
      <c r="Z489" s="37"/>
      <c r="AA489" s="37"/>
    </row>
    <row r="490" spans="1:27">
      <c r="A490" s="37"/>
      <c r="B490" s="37"/>
      <c r="C490" s="37"/>
      <c r="D490" s="37"/>
      <c r="E490" s="37"/>
      <c r="F490" s="36"/>
      <c r="G490" s="37"/>
      <c r="H490" s="37"/>
      <c r="I490" s="78"/>
      <c r="J490" s="78"/>
      <c r="K490" s="38"/>
      <c r="L490" s="35"/>
      <c r="M490" s="453"/>
      <c r="N490" s="37"/>
      <c r="O490" s="37"/>
      <c r="P490" s="37"/>
      <c r="Q490" s="37"/>
      <c r="R490" s="37"/>
      <c r="S490" s="37"/>
      <c r="T490" s="37"/>
      <c r="U490" s="37"/>
      <c r="V490" s="37"/>
      <c r="W490" s="37"/>
      <c r="X490" s="37"/>
      <c r="Y490" s="37"/>
      <c r="Z490" s="37"/>
      <c r="AA490" s="37"/>
    </row>
    <row r="491" spans="1:27">
      <c r="A491" s="37"/>
      <c r="B491" s="37"/>
      <c r="C491" s="37"/>
      <c r="D491" s="37"/>
      <c r="E491" s="37"/>
      <c r="F491" s="36"/>
      <c r="G491" s="37"/>
      <c r="H491" s="37"/>
      <c r="I491" s="78"/>
      <c r="J491" s="78"/>
      <c r="K491" s="38"/>
      <c r="L491" s="35"/>
      <c r="M491" s="453"/>
      <c r="N491" s="37"/>
      <c r="O491" s="37"/>
      <c r="P491" s="37"/>
      <c r="Q491" s="37"/>
      <c r="R491" s="37"/>
      <c r="S491" s="37"/>
      <c r="T491" s="37"/>
      <c r="U491" s="37"/>
      <c r="V491" s="37"/>
      <c r="W491" s="37"/>
      <c r="X491" s="37"/>
      <c r="Y491" s="37"/>
      <c r="Z491" s="37"/>
      <c r="AA491" s="37"/>
    </row>
    <row r="492" spans="1:27">
      <c r="A492" s="37"/>
      <c r="B492" s="37"/>
      <c r="C492" s="37"/>
      <c r="D492" s="37"/>
      <c r="E492" s="37"/>
      <c r="F492" s="36"/>
      <c r="G492" s="37"/>
      <c r="H492" s="37"/>
      <c r="I492" s="78"/>
      <c r="J492" s="78"/>
      <c r="K492" s="38"/>
      <c r="L492" s="35"/>
      <c r="M492" s="453"/>
      <c r="N492" s="37"/>
      <c r="O492" s="37"/>
      <c r="P492" s="37"/>
      <c r="Q492" s="37"/>
      <c r="R492" s="37"/>
      <c r="S492" s="37"/>
      <c r="T492" s="37"/>
      <c r="U492" s="37"/>
      <c r="V492" s="37"/>
      <c r="W492" s="37"/>
      <c r="X492" s="37"/>
      <c r="Y492" s="37"/>
      <c r="Z492" s="37"/>
      <c r="AA492" s="37"/>
    </row>
    <row r="493" spans="1:27">
      <c r="A493" s="37"/>
      <c r="B493" s="37"/>
      <c r="C493" s="37"/>
      <c r="D493" s="37"/>
      <c r="E493" s="37"/>
      <c r="F493" s="36"/>
      <c r="G493" s="37"/>
      <c r="H493" s="37"/>
      <c r="I493" s="78"/>
      <c r="J493" s="78"/>
      <c r="K493" s="38"/>
      <c r="L493" s="35"/>
      <c r="M493" s="453"/>
      <c r="N493" s="37"/>
      <c r="O493" s="37"/>
      <c r="P493" s="37"/>
      <c r="Q493" s="37"/>
      <c r="R493" s="37"/>
      <c r="S493" s="37"/>
      <c r="T493" s="37"/>
      <c r="U493" s="37"/>
      <c r="V493" s="37"/>
      <c r="W493" s="37"/>
      <c r="X493" s="37"/>
      <c r="Y493" s="37"/>
      <c r="Z493" s="37"/>
      <c r="AA493" s="37"/>
    </row>
    <row r="494" spans="1:27">
      <c r="A494" s="37"/>
      <c r="B494" s="37"/>
      <c r="C494" s="37"/>
      <c r="D494" s="37"/>
      <c r="E494" s="37"/>
      <c r="F494" s="36"/>
      <c r="G494" s="37"/>
      <c r="H494" s="37"/>
      <c r="I494" s="78"/>
      <c r="J494" s="78"/>
      <c r="K494" s="38"/>
      <c r="L494" s="35"/>
      <c r="M494" s="453"/>
      <c r="N494" s="37"/>
      <c r="O494" s="37"/>
      <c r="P494" s="37"/>
      <c r="Q494" s="37"/>
      <c r="R494" s="37"/>
      <c r="S494" s="37"/>
      <c r="T494" s="37"/>
      <c r="U494" s="37"/>
      <c r="V494" s="37"/>
      <c r="W494" s="37"/>
      <c r="X494" s="37"/>
      <c r="Y494" s="37"/>
      <c r="Z494" s="37"/>
      <c r="AA494" s="37"/>
    </row>
    <row r="495" spans="1:27">
      <c r="A495" s="37"/>
      <c r="B495" s="37"/>
      <c r="C495" s="37"/>
      <c r="D495" s="37"/>
      <c r="E495" s="37"/>
      <c r="F495" s="36"/>
      <c r="G495" s="37"/>
      <c r="H495" s="37"/>
      <c r="I495" s="78"/>
      <c r="J495" s="78"/>
      <c r="K495" s="38"/>
      <c r="L495" s="35"/>
      <c r="M495" s="453"/>
      <c r="N495" s="37"/>
      <c r="O495" s="37"/>
      <c r="P495" s="37"/>
      <c r="Q495" s="37"/>
      <c r="R495" s="37"/>
      <c r="S495" s="37"/>
      <c r="T495" s="37"/>
      <c r="U495" s="37"/>
      <c r="V495" s="37"/>
      <c r="W495" s="37"/>
      <c r="X495" s="37"/>
      <c r="Y495" s="37"/>
      <c r="Z495" s="37"/>
      <c r="AA495" s="37"/>
    </row>
    <row r="496" spans="1:27">
      <c r="A496" s="37"/>
      <c r="B496" s="37"/>
      <c r="C496" s="37"/>
      <c r="D496" s="37"/>
      <c r="E496" s="37"/>
      <c r="F496" s="36"/>
      <c r="G496" s="37"/>
      <c r="H496" s="37"/>
      <c r="I496" s="78"/>
      <c r="J496" s="78"/>
      <c r="K496" s="38"/>
      <c r="L496" s="35"/>
      <c r="M496" s="453"/>
      <c r="N496" s="37"/>
      <c r="O496" s="37"/>
      <c r="P496" s="37"/>
      <c r="Q496" s="37"/>
      <c r="R496" s="37"/>
      <c r="S496" s="37"/>
      <c r="T496" s="37"/>
      <c r="U496" s="37"/>
      <c r="V496" s="37"/>
      <c r="W496" s="37"/>
      <c r="X496" s="37"/>
      <c r="Y496" s="37"/>
      <c r="Z496" s="37"/>
      <c r="AA496" s="37"/>
    </row>
    <row r="497" spans="1:27">
      <c r="A497" s="37"/>
      <c r="B497" s="37"/>
      <c r="C497" s="37"/>
      <c r="D497" s="37"/>
      <c r="E497" s="37"/>
      <c r="F497" s="36"/>
      <c r="G497" s="37"/>
      <c r="H497" s="37"/>
      <c r="I497" s="78"/>
      <c r="J497" s="78"/>
      <c r="K497" s="38"/>
      <c r="L497" s="35"/>
      <c r="M497" s="453"/>
      <c r="N497" s="37"/>
      <c r="O497" s="37"/>
      <c r="P497" s="37"/>
      <c r="Q497" s="37"/>
      <c r="R497" s="37"/>
      <c r="S497" s="37"/>
      <c r="T497" s="37"/>
      <c r="U497" s="37"/>
      <c r="V497" s="37"/>
      <c r="W497" s="37"/>
      <c r="X497" s="37"/>
      <c r="Y497" s="37"/>
      <c r="Z497" s="37"/>
      <c r="AA497" s="37"/>
    </row>
    <row r="498" spans="1:27">
      <c r="A498" s="37"/>
      <c r="B498" s="37"/>
      <c r="C498" s="37"/>
      <c r="D498" s="37"/>
      <c r="E498" s="37"/>
      <c r="F498" s="36"/>
      <c r="G498" s="37"/>
      <c r="H498" s="37"/>
      <c r="I498" s="78"/>
      <c r="J498" s="78"/>
      <c r="K498" s="38"/>
      <c r="L498" s="35"/>
      <c r="M498" s="453"/>
      <c r="N498" s="37"/>
      <c r="O498" s="37"/>
      <c r="P498" s="37"/>
      <c r="Q498" s="37"/>
      <c r="R498" s="37"/>
      <c r="S498" s="37"/>
      <c r="T498" s="37"/>
      <c r="U498" s="37"/>
      <c r="V498" s="37"/>
      <c r="W498" s="37"/>
      <c r="X498" s="37"/>
      <c r="Y498" s="37"/>
      <c r="Z498" s="37"/>
      <c r="AA498" s="37"/>
    </row>
    <row r="499" spans="1:27">
      <c r="A499" s="37"/>
      <c r="B499" s="37"/>
      <c r="C499" s="37"/>
      <c r="D499" s="37"/>
      <c r="E499" s="37"/>
      <c r="F499" s="36"/>
      <c r="G499" s="37"/>
      <c r="H499" s="37"/>
      <c r="I499" s="78"/>
      <c r="J499" s="78"/>
      <c r="K499" s="38"/>
      <c r="L499" s="35"/>
      <c r="M499" s="453"/>
      <c r="N499" s="37"/>
      <c r="O499" s="37"/>
      <c r="P499" s="37"/>
      <c r="Q499" s="37"/>
      <c r="R499" s="37"/>
      <c r="S499" s="37"/>
      <c r="T499" s="37"/>
      <c r="U499" s="37"/>
      <c r="V499" s="37"/>
      <c r="W499" s="37"/>
      <c r="X499" s="37"/>
      <c r="Y499" s="37"/>
      <c r="Z499" s="37"/>
      <c r="AA499" s="37"/>
    </row>
    <row r="500" spans="1:27">
      <c r="A500" s="37"/>
      <c r="B500" s="37"/>
      <c r="C500" s="37"/>
      <c r="D500" s="37"/>
      <c r="E500" s="37"/>
      <c r="F500" s="36"/>
      <c r="G500" s="37"/>
      <c r="H500" s="37"/>
      <c r="I500" s="78"/>
      <c r="J500" s="78"/>
      <c r="K500" s="38"/>
      <c r="L500" s="35"/>
      <c r="M500" s="453"/>
      <c r="N500" s="37"/>
      <c r="O500" s="37"/>
      <c r="P500" s="37"/>
      <c r="Q500" s="37"/>
      <c r="R500" s="37"/>
      <c r="S500" s="37"/>
      <c r="T500" s="37"/>
      <c r="U500" s="37"/>
      <c r="V500" s="37"/>
      <c r="W500" s="37"/>
      <c r="X500" s="37"/>
      <c r="Y500" s="37"/>
      <c r="Z500" s="37"/>
      <c r="AA500" s="37"/>
    </row>
    <row r="501" spans="1:27">
      <c r="A501" s="37"/>
      <c r="B501" s="37"/>
      <c r="C501" s="37"/>
      <c r="D501" s="37"/>
      <c r="E501" s="37"/>
      <c r="F501" s="36"/>
      <c r="G501" s="37"/>
      <c r="H501" s="37"/>
      <c r="I501" s="78"/>
      <c r="J501" s="78"/>
      <c r="K501" s="38"/>
      <c r="L501" s="35"/>
      <c r="M501" s="453"/>
      <c r="N501" s="37"/>
      <c r="O501" s="37"/>
      <c r="P501" s="37"/>
      <c r="Q501" s="37"/>
      <c r="R501" s="37"/>
      <c r="S501" s="37"/>
      <c r="T501" s="37"/>
      <c r="U501" s="37"/>
      <c r="V501" s="37"/>
      <c r="W501" s="37"/>
      <c r="X501" s="37"/>
      <c r="Y501" s="37"/>
      <c r="Z501" s="37"/>
      <c r="AA501" s="37"/>
    </row>
    <row r="502" spans="1:27">
      <c r="A502" s="37"/>
      <c r="B502" s="37"/>
      <c r="C502" s="37"/>
      <c r="D502" s="37"/>
      <c r="E502" s="37"/>
      <c r="F502" s="36"/>
      <c r="G502" s="37"/>
      <c r="H502" s="37"/>
      <c r="I502" s="78"/>
      <c r="J502" s="78"/>
      <c r="K502" s="38"/>
      <c r="L502" s="35"/>
      <c r="M502" s="453"/>
      <c r="N502" s="37"/>
      <c r="O502" s="37"/>
      <c r="P502" s="37"/>
      <c r="Q502" s="37"/>
      <c r="R502" s="37"/>
      <c r="S502" s="37"/>
      <c r="T502" s="37"/>
      <c r="U502" s="37"/>
      <c r="V502" s="37"/>
      <c r="W502" s="37"/>
      <c r="X502" s="37"/>
      <c r="Y502" s="37"/>
      <c r="Z502" s="37"/>
      <c r="AA502" s="37"/>
    </row>
    <row r="503" spans="1:27">
      <c r="A503" s="37"/>
      <c r="B503" s="37"/>
      <c r="C503" s="37"/>
      <c r="D503" s="37"/>
      <c r="E503" s="37"/>
      <c r="F503" s="36"/>
      <c r="G503" s="37"/>
      <c r="H503" s="37"/>
      <c r="I503" s="78"/>
      <c r="J503" s="78"/>
      <c r="K503" s="38"/>
      <c r="L503" s="35"/>
      <c r="M503" s="453"/>
      <c r="N503" s="37"/>
      <c r="O503" s="37"/>
      <c r="P503" s="37"/>
      <c r="Q503" s="37"/>
      <c r="R503" s="37"/>
      <c r="S503" s="37"/>
      <c r="T503" s="37"/>
      <c r="U503" s="37"/>
      <c r="V503" s="37"/>
      <c r="W503" s="37"/>
      <c r="X503" s="37"/>
      <c r="Y503" s="37"/>
      <c r="Z503" s="37"/>
      <c r="AA503" s="37"/>
    </row>
    <row r="504" spans="1:27">
      <c r="A504" s="37"/>
      <c r="B504" s="37"/>
      <c r="C504" s="37"/>
      <c r="D504" s="37"/>
      <c r="E504" s="37"/>
      <c r="F504" s="36"/>
      <c r="G504" s="37"/>
      <c r="H504" s="37"/>
      <c r="I504" s="78"/>
      <c r="J504" s="78"/>
      <c r="K504" s="38"/>
      <c r="L504" s="35"/>
      <c r="M504" s="453"/>
      <c r="N504" s="37"/>
      <c r="O504" s="37"/>
      <c r="P504" s="37"/>
      <c r="Q504" s="37"/>
      <c r="R504" s="37"/>
      <c r="S504" s="37"/>
      <c r="T504" s="37"/>
      <c r="U504" s="37"/>
      <c r="V504" s="37"/>
      <c r="W504" s="37"/>
      <c r="X504" s="37"/>
      <c r="Y504" s="37"/>
      <c r="Z504" s="37"/>
      <c r="AA504" s="37"/>
    </row>
    <row r="505" spans="1:27">
      <c r="A505" s="37"/>
      <c r="B505" s="37"/>
      <c r="C505" s="37"/>
      <c r="D505" s="37"/>
      <c r="E505" s="37"/>
      <c r="F505" s="36"/>
      <c r="G505" s="37"/>
      <c r="H505" s="37"/>
      <c r="I505" s="78"/>
      <c r="J505" s="78"/>
      <c r="K505" s="38"/>
      <c r="L505" s="35"/>
      <c r="M505" s="453"/>
      <c r="N505" s="37"/>
      <c r="O505" s="37"/>
      <c r="P505" s="37"/>
      <c r="Q505" s="37"/>
      <c r="R505" s="37"/>
      <c r="S505" s="37"/>
      <c r="T505" s="37"/>
      <c r="U505" s="37"/>
      <c r="V505" s="37"/>
      <c r="W505" s="37"/>
      <c r="X505" s="37"/>
      <c r="Y505" s="37"/>
      <c r="Z505" s="37"/>
      <c r="AA505" s="37"/>
    </row>
    <row r="506" spans="1:27">
      <c r="A506" s="37"/>
      <c r="B506" s="37"/>
      <c r="C506" s="37"/>
      <c r="D506" s="37"/>
      <c r="E506" s="37"/>
      <c r="F506" s="36"/>
      <c r="G506" s="37"/>
      <c r="H506" s="37"/>
      <c r="I506" s="78"/>
      <c r="J506" s="78"/>
      <c r="K506" s="38"/>
      <c r="L506" s="35"/>
      <c r="M506" s="453"/>
      <c r="N506" s="37"/>
      <c r="O506" s="37"/>
      <c r="P506" s="37"/>
      <c r="Q506" s="37"/>
      <c r="R506" s="37"/>
      <c r="S506" s="37"/>
      <c r="T506" s="37"/>
      <c r="U506" s="37"/>
      <c r="V506" s="37"/>
      <c r="W506" s="37"/>
      <c r="X506" s="37"/>
      <c r="Y506" s="37"/>
      <c r="Z506" s="37"/>
      <c r="AA506" s="37"/>
    </row>
    <row r="507" spans="1:27">
      <c r="A507" s="37"/>
      <c r="B507" s="37"/>
      <c r="C507" s="37"/>
      <c r="D507" s="37"/>
      <c r="E507" s="37"/>
      <c r="F507" s="36"/>
      <c r="G507" s="37"/>
      <c r="H507" s="37"/>
      <c r="I507" s="78"/>
      <c r="J507" s="78"/>
      <c r="K507" s="38"/>
      <c r="L507" s="35"/>
      <c r="M507" s="453"/>
      <c r="N507" s="37"/>
      <c r="O507" s="37"/>
      <c r="P507" s="37"/>
      <c r="Q507" s="37"/>
      <c r="R507" s="37"/>
      <c r="S507" s="37"/>
      <c r="T507" s="37"/>
      <c r="U507" s="37"/>
      <c r="V507" s="37"/>
      <c r="W507" s="37"/>
      <c r="X507" s="37"/>
      <c r="Y507" s="37"/>
      <c r="Z507" s="37"/>
      <c r="AA507" s="37"/>
    </row>
    <row r="508" spans="1:27">
      <c r="A508" s="37"/>
      <c r="B508" s="37"/>
      <c r="C508" s="37"/>
      <c r="D508" s="37"/>
      <c r="E508" s="37"/>
      <c r="F508" s="36"/>
      <c r="G508" s="37"/>
      <c r="H508" s="37"/>
      <c r="I508" s="78"/>
      <c r="J508" s="78"/>
      <c r="K508" s="38"/>
      <c r="L508" s="35"/>
      <c r="M508" s="453"/>
      <c r="N508" s="37"/>
      <c r="O508" s="37"/>
      <c r="P508" s="37"/>
      <c r="Q508" s="37"/>
      <c r="R508" s="37"/>
      <c r="S508" s="37"/>
      <c r="T508" s="37"/>
      <c r="U508" s="37"/>
      <c r="V508" s="37"/>
      <c r="W508" s="37"/>
      <c r="X508" s="37"/>
      <c r="Y508" s="37"/>
      <c r="Z508" s="37"/>
      <c r="AA508" s="37"/>
    </row>
    <row r="509" spans="1:27">
      <c r="A509" s="37"/>
      <c r="B509" s="37"/>
      <c r="C509" s="37"/>
      <c r="D509" s="37"/>
      <c r="E509" s="37"/>
      <c r="F509" s="36"/>
      <c r="G509" s="37"/>
      <c r="H509" s="37"/>
      <c r="I509" s="78"/>
      <c r="J509" s="78"/>
      <c r="K509" s="38"/>
      <c r="L509" s="35"/>
      <c r="M509" s="453"/>
      <c r="N509" s="37"/>
      <c r="O509" s="37"/>
      <c r="P509" s="37"/>
      <c r="Q509" s="37"/>
      <c r="R509" s="37"/>
      <c r="S509" s="37"/>
      <c r="T509" s="37"/>
      <c r="U509" s="37"/>
      <c r="V509" s="37"/>
      <c r="W509" s="37"/>
      <c r="X509" s="37"/>
      <c r="Y509" s="37"/>
      <c r="Z509" s="37"/>
      <c r="AA509" s="37"/>
    </row>
    <row r="510" spans="1:27">
      <c r="A510" s="37"/>
      <c r="B510" s="37"/>
      <c r="C510" s="37"/>
      <c r="D510" s="37"/>
      <c r="E510" s="37"/>
      <c r="F510" s="36"/>
      <c r="G510" s="37"/>
      <c r="H510" s="37"/>
      <c r="I510" s="78"/>
      <c r="J510" s="78"/>
      <c r="K510" s="38"/>
      <c r="L510" s="35"/>
      <c r="M510" s="453"/>
      <c r="N510" s="37"/>
      <c r="O510" s="37"/>
      <c r="P510" s="37"/>
      <c r="Q510" s="37"/>
      <c r="R510" s="37"/>
      <c r="S510" s="37"/>
      <c r="T510" s="37"/>
      <c r="U510" s="37"/>
      <c r="V510" s="37"/>
      <c r="W510" s="37"/>
      <c r="X510" s="37"/>
      <c r="Y510" s="37"/>
      <c r="Z510" s="37"/>
      <c r="AA510" s="37"/>
    </row>
    <row r="511" spans="1:27">
      <c r="A511" s="37"/>
      <c r="B511" s="37"/>
      <c r="C511" s="37"/>
      <c r="D511" s="37"/>
      <c r="E511" s="37"/>
      <c r="F511" s="36"/>
      <c r="G511" s="37"/>
      <c r="H511" s="37"/>
      <c r="I511" s="78"/>
      <c r="J511" s="78"/>
      <c r="K511" s="38"/>
      <c r="L511" s="35"/>
      <c r="M511" s="453"/>
      <c r="N511" s="37"/>
      <c r="O511" s="37"/>
      <c r="P511" s="37"/>
      <c r="Q511" s="37"/>
      <c r="R511" s="37"/>
      <c r="S511" s="37"/>
      <c r="T511" s="37"/>
      <c r="U511" s="37"/>
      <c r="V511" s="37"/>
      <c r="W511" s="37"/>
      <c r="X511" s="37"/>
      <c r="Y511" s="37"/>
      <c r="Z511" s="37"/>
      <c r="AA511" s="37"/>
    </row>
    <row r="512" spans="1:27">
      <c r="A512" s="37"/>
      <c r="B512" s="37"/>
      <c r="C512" s="37"/>
      <c r="D512" s="37"/>
      <c r="E512" s="37"/>
      <c r="F512" s="36"/>
      <c r="G512" s="37"/>
      <c r="H512" s="37"/>
      <c r="I512" s="78"/>
      <c r="J512" s="78"/>
      <c r="K512" s="38"/>
      <c r="L512" s="35"/>
      <c r="M512" s="453"/>
      <c r="N512" s="37"/>
      <c r="O512" s="37"/>
      <c r="P512" s="37"/>
      <c r="Q512" s="37"/>
      <c r="R512" s="37"/>
      <c r="S512" s="37"/>
      <c r="T512" s="37"/>
      <c r="U512" s="37"/>
      <c r="V512" s="37"/>
      <c r="W512" s="37"/>
      <c r="X512" s="37"/>
      <c r="Y512" s="37"/>
      <c r="Z512" s="37"/>
      <c r="AA512" s="37"/>
    </row>
    <row r="513" spans="1:27">
      <c r="A513" s="37"/>
      <c r="B513" s="37"/>
      <c r="C513" s="37"/>
      <c r="D513" s="37"/>
      <c r="E513" s="37"/>
      <c r="F513" s="36"/>
      <c r="G513" s="37"/>
      <c r="H513" s="37"/>
      <c r="I513" s="78"/>
      <c r="J513" s="78"/>
      <c r="K513" s="38"/>
      <c r="L513" s="35"/>
      <c r="M513" s="453"/>
      <c r="N513" s="37"/>
      <c r="O513" s="37"/>
      <c r="P513" s="37"/>
      <c r="Q513" s="37"/>
      <c r="R513" s="37"/>
      <c r="S513" s="37"/>
      <c r="T513" s="37"/>
      <c r="U513" s="37"/>
      <c r="V513" s="37"/>
      <c r="W513" s="37"/>
      <c r="X513" s="37"/>
      <c r="Y513" s="37"/>
      <c r="Z513" s="37"/>
      <c r="AA513" s="37"/>
    </row>
    <row r="514" spans="1:27">
      <c r="A514" s="37"/>
      <c r="B514" s="37"/>
      <c r="C514" s="37"/>
      <c r="D514" s="37"/>
      <c r="E514" s="37"/>
      <c r="F514" s="36"/>
      <c r="G514" s="37"/>
      <c r="H514" s="37"/>
      <c r="I514" s="78"/>
      <c r="J514" s="78"/>
      <c r="K514" s="38"/>
      <c r="L514" s="35"/>
      <c r="M514" s="453"/>
      <c r="N514" s="37"/>
      <c r="O514" s="37"/>
      <c r="P514" s="37"/>
      <c r="Q514" s="37"/>
      <c r="R514" s="37"/>
      <c r="S514" s="37"/>
      <c r="T514" s="37"/>
      <c r="U514" s="37"/>
      <c r="V514" s="37"/>
      <c r="W514" s="37"/>
      <c r="X514" s="37"/>
      <c r="Y514" s="37"/>
      <c r="Z514" s="37"/>
      <c r="AA514" s="37"/>
    </row>
    <row r="515" spans="1:27">
      <c r="A515" s="37"/>
      <c r="B515" s="37"/>
      <c r="C515" s="37"/>
      <c r="D515" s="37"/>
      <c r="E515" s="37"/>
      <c r="F515" s="36"/>
      <c r="G515" s="37"/>
      <c r="H515" s="37"/>
      <c r="I515" s="78"/>
      <c r="J515" s="78"/>
      <c r="K515" s="38"/>
      <c r="L515" s="35"/>
      <c r="M515" s="453"/>
      <c r="N515" s="37"/>
      <c r="O515" s="37"/>
      <c r="P515" s="37"/>
      <c r="Q515" s="37"/>
      <c r="R515" s="37"/>
      <c r="S515" s="37"/>
      <c r="T515" s="37"/>
      <c r="U515" s="37"/>
      <c r="V515" s="37"/>
      <c r="W515" s="37"/>
      <c r="X515" s="37"/>
      <c r="Y515" s="37"/>
      <c r="Z515" s="37"/>
      <c r="AA515" s="37"/>
    </row>
    <row r="516" spans="1:27">
      <c r="A516" s="37"/>
      <c r="B516" s="37"/>
      <c r="C516" s="37"/>
      <c r="D516" s="37"/>
      <c r="E516" s="37"/>
      <c r="F516" s="36"/>
      <c r="G516" s="37"/>
      <c r="H516" s="37"/>
      <c r="I516" s="78"/>
      <c r="J516" s="78"/>
      <c r="K516" s="38"/>
      <c r="L516" s="35"/>
      <c r="M516" s="453"/>
      <c r="N516" s="37"/>
      <c r="O516" s="37"/>
      <c r="P516" s="37"/>
      <c r="Q516" s="37"/>
      <c r="R516" s="37"/>
      <c r="S516" s="37"/>
      <c r="T516" s="37"/>
      <c r="U516" s="37"/>
      <c r="V516" s="37"/>
      <c r="W516" s="37"/>
      <c r="X516" s="37"/>
      <c r="Y516" s="37"/>
      <c r="Z516" s="37"/>
      <c r="AA516" s="37"/>
    </row>
    <row r="517" spans="1:27">
      <c r="A517" s="37"/>
      <c r="B517" s="37"/>
      <c r="C517" s="37"/>
      <c r="D517" s="37"/>
      <c r="E517" s="37"/>
      <c r="F517" s="36"/>
      <c r="G517" s="37"/>
      <c r="H517" s="37"/>
      <c r="I517" s="78"/>
      <c r="J517" s="78"/>
      <c r="K517" s="38"/>
      <c r="L517" s="35"/>
      <c r="M517" s="453"/>
      <c r="N517" s="37"/>
      <c r="O517" s="37"/>
      <c r="P517" s="37"/>
      <c r="Q517" s="37"/>
      <c r="R517" s="37"/>
      <c r="S517" s="37"/>
      <c r="T517" s="37"/>
      <c r="U517" s="37"/>
      <c r="V517" s="37"/>
      <c r="W517" s="37"/>
      <c r="X517" s="37"/>
      <c r="Y517" s="37"/>
      <c r="Z517" s="37"/>
      <c r="AA517" s="37"/>
    </row>
    <row r="518" spans="1:27">
      <c r="A518" s="37"/>
      <c r="B518" s="37"/>
      <c r="C518" s="37"/>
      <c r="D518" s="37"/>
      <c r="E518" s="37"/>
      <c r="F518" s="36"/>
      <c r="G518" s="37"/>
      <c r="H518" s="37"/>
      <c r="I518" s="78"/>
      <c r="J518" s="78"/>
      <c r="K518" s="38"/>
      <c r="L518" s="35"/>
      <c r="M518" s="453"/>
      <c r="N518" s="37"/>
      <c r="O518" s="37"/>
      <c r="P518" s="37"/>
      <c r="Q518" s="37"/>
      <c r="R518" s="37"/>
      <c r="S518" s="37"/>
      <c r="T518" s="37"/>
      <c r="U518" s="37"/>
      <c r="V518" s="37"/>
      <c r="W518" s="37"/>
      <c r="X518" s="37"/>
      <c r="Y518" s="37"/>
      <c r="Z518" s="37"/>
      <c r="AA518" s="37"/>
    </row>
    <row r="519" spans="1:27">
      <c r="A519" s="37"/>
      <c r="B519" s="37"/>
      <c r="C519" s="37"/>
      <c r="D519" s="37"/>
      <c r="E519" s="37"/>
      <c r="F519" s="36"/>
      <c r="G519" s="37"/>
      <c r="H519" s="37"/>
      <c r="I519" s="78"/>
      <c r="J519" s="78"/>
      <c r="K519" s="38"/>
      <c r="L519" s="35"/>
      <c r="M519" s="453"/>
      <c r="N519" s="37"/>
      <c r="O519" s="37"/>
      <c r="P519" s="37"/>
      <c r="Q519" s="37"/>
      <c r="R519" s="37"/>
      <c r="S519" s="37"/>
      <c r="T519" s="37"/>
      <c r="U519" s="37"/>
      <c r="V519" s="37"/>
      <c r="W519" s="37"/>
      <c r="X519" s="37"/>
      <c r="Y519" s="37"/>
      <c r="Z519" s="37"/>
      <c r="AA519" s="37"/>
    </row>
    <row r="520" spans="1:27">
      <c r="A520" s="37"/>
      <c r="B520" s="37"/>
      <c r="C520" s="37"/>
      <c r="D520" s="37"/>
      <c r="E520" s="37"/>
      <c r="F520" s="36"/>
      <c r="G520" s="37"/>
      <c r="H520" s="37"/>
      <c r="I520" s="78"/>
      <c r="J520" s="78"/>
      <c r="K520" s="38"/>
      <c r="L520" s="35"/>
      <c r="M520" s="453"/>
      <c r="N520" s="37"/>
      <c r="O520" s="37"/>
      <c r="P520" s="37"/>
      <c r="Q520" s="37"/>
      <c r="R520" s="37"/>
      <c r="S520" s="37"/>
      <c r="T520" s="37"/>
      <c r="U520" s="37"/>
      <c r="V520" s="37"/>
      <c r="W520" s="37"/>
      <c r="X520" s="37"/>
      <c r="Y520" s="37"/>
      <c r="Z520" s="37"/>
      <c r="AA520" s="37"/>
    </row>
    <row r="521" spans="1:27">
      <c r="A521" s="37"/>
      <c r="B521" s="37"/>
      <c r="C521" s="37"/>
      <c r="D521" s="37"/>
      <c r="E521" s="37"/>
      <c r="F521" s="36"/>
      <c r="G521" s="37"/>
      <c r="H521" s="37"/>
      <c r="I521" s="78"/>
      <c r="J521" s="78"/>
      <c r="K521" s="38"/>
      <c r="L521" s="35"/>
      <c r="M521" s="453"/>
      <c r="N521" s="37"/>
      <c r="O521" s="37"/>
      <c r="P521" s="37"/>
      <c r="Q521" s="37"/>
      <c r="R521" s="37"/>
      <c r="S521" s="37"/>
      <c r="T521" s="37"/>
      <c r="U521" s="37"/>
      <c r="V521" s="37"/>
      <c r="W521" s="37"/>
      <c r="X521" s="37"/>
      <c r="Y521" s="37"/>
      <c r="Z521" s="37"/>
      <c r="AA521" s="37"/>
    </row>
    <row r="522" spans="1:27">
      <c r="A522" s="37"/>
      <c r="B522" s="37"/>
      <c r="C522" s="37"/>
      <c r="D522" s="37"/>
      <c r="E522" s="37"/>
      <c r="F522" s="36"/>
      <c r="G522" s="37"/>
      <c r="H522" s="37"/>
      <c r="I522" s="78"/>
      <c r="J522" s="78"/>
      <c r="K522" s="38"/>
      <c r="L522" s="35"/>
      <c r="M522" s="453"/>
      <c r="N522" s="37"/>
      <c r="O522" s="37"/>
      <c r="P522" s="37"/>
      <c r="Q522" s="37"/>
      <c r="R522" s="37"/>
      <c r="S522" s="37"/>
      <c r="T522" s="37"/>
      <c r="U522" s="37"/>
      <c r="V522" s="37"/>
      <c r="W522" s="37"/>
      <c r="X522" s="37"/>
      <c r="Y522" s="37"/>
      <c r="Z522" s="37"/>
      <c r="AA522" s="37"/>
    </row>
    <row r="523" spans="1:27">
      <c r="A523" s="37"/>
      <c r="B523" s="37"/>
      <c r="C523" s="37"/>
      <c r="D523" s="37"/>
      <c r="E523" s="37"/>
      <c r="F523" s="36"/>
      <c r="G523" s="37"/>
      <c r="H523" s="37"/>
      <c r="I523" s="78"/>
      <c r="J523" s="78"/>
      <c r="K523" s="38"/>
      <c r="L523" s="35"/>
      <c r="M523" s="453"/>
      <c r="N523" s="37"/>
      <c r="O523" s="37"/>
      <c r="P523" s="37"/>
      <c r="Q523" s="37"/>
      <c r="R523" s="37"/>
      <c r="S523" s="37"/>
      <c r="T523" s="37"/>
      <c r="U523" s="37"/>
      <c r="V523" s="37"/>
      <c r="W523" s="37"/>
      <c r="X523" s="37"/>
      <c r="Y523" s="37"/>
      <c r="Z523" s="37"/>
      <c r="AA523" s="37"/>
    </row>
    <row r="524" spans="1:27">
      <c r="A524" s="37"/>
      <c r="B524" s="37"/>
      <c r="C524" s="37"/>
      <c r="D524" s="37"/>
      <c r="E524" s="37"/>
      <c r="F524" s="36"/>
      <c r="G524" s="37"/>
      <c r="H524" s="37"/>
      <c r="I524" s="78"/>
      <c r="J524" s="78"/>
      <c r="K524" s="38"/>
      <c r="L524" s="35"/>
      <c r="M524" s="453"/>
      <c r="N524" s="37"/>
      <c r="O524" s="37"/>
      <c r="P524" s="37"/>
      <c r="Q524" s="37"/>
      <c r="R524" s="37"/>
      <c r="S524" s="37"/>
      <c r="T524" s="37"/>
      <c r="U524" s="37"/>
      <c r="V524" s="37"/>
      <c r="W524" s="37"/>
      <c r="X524" s="37"/>
      <c r="Y524" s="37"/>
      <c r="Z524" s="37"/>
      <c r="AA524" s="37"/>
    </row>
    <row r="525" spans="1:27">
      <c r="A525" s="37"/>
      <c r="B525" s="37"/>
      <c r="C525" s="37"/>
      <c r="D525" s="37"/>
      <c r="E525" s="37"/>
      <c r="F525" s="36"/>
      <c r="G525" s="37"/>
      <c r="H525" s="37"/>
      <c r="I525" s="78"/>
      <c r="J525" s="78"/>
      <c r="K525" s="38"/>
      <c r="L525" s="35"/>
      <c r="M525" s="453"/>
      <c r="N525" s="37"/>
      <c r="O525" s="37"/>
      <c r="P525" s="37"/>
      <c r="Q525" s="37"/>
      <c r="R525" s="37"/>
      <c r="S525" s="37"/>
      <c r="T525" s="37"/>
      <c r="U525" s="37"/>
      <c r="V525" s="37"/>
      <c r="W525" s="37"/>
      <c r="X525" s="37"/>
      <c r="Y525" s="37"/>
      <c r="Z525" s="37"/>
      <c r="AA525" s="37"/>
    </row>
    <row r="526" spans="1:27">
      <c r="A526" s="37"/>
      <c r="B526" s="37"/>
      <c r="C526" s="37"/>
      <c r="D526" s="37"/>
      <c r="E526" s="37"/>
      <c r="F526" s="36"/>
      <c r="G526" s="37"/>
      <c r="H526" s="37"/>
      <c r="I526" s="78"/>
      <c r="J526" s="78"/>
      <c r="K526" s="38"/>
      <c r="L526" s="35"/>
      <c r="M526" s="453"/>
      <c r="N526" s="37"/>
      <c r="O526" s="37"/>
      <c r="P526" s="37"/>
      <c r="Q526" s="37"/>
      <c r="R526" s="37"/>
      <c r="S526" s="37"/>
      <c r="T526" s="37"/>
      <c r="U526" s="37"/>
      <c r="V526" s="37"/>
      <c r="W526" s="37"/>
      <c r="X526" s="37"/>
      <c r="Y526" s="37"/>
      <c r="Z526" s="37"/>
      <c r="AA526" s="37"/>
    </row>
    <row r="527" spans="1:27">
      <c r="A527" s="37"/>
      <c r="B527" s="37"/>
      <c r="C527" s="37"/>
      <c r="D527" s="37"/>
      <c r="E527" s="37"/>
      <c r="F527" s="36"/>
      <c r="G527" s="37"/>
      <c r="H527" s="37"/>
      <c r="I527" s="78"/>
      <c r="J527" s="78"/>
      <c r="K527" s="38"/>
      <c r="L527" s="35"/>
      <c r="M527" s="453"/>
      <c r="N527" s="37"/>
      <c r="O527" s="37"/>
      <c r="P527" s="37"/>
      <c r="Q527" s="37"/>
      <c r="R527" s="37"/>
      <c r="S527" s="37"/>
      <c r="T527" s="37"/>
      <c r="U527" s="37"/>
      <c r="V527" s="37"/>
      <c r="W527" s="37"/>
      <c r="X527" s="37"/>
      <c r="Y527" s="37"/>
      <c r="Z527" s="37"/>
      <c r="AA527" s="37"/>
    </row>
    <row r="528" spans="1:27">
      <c r="A528" s="37"/>
      <c r="B528" s="37"/>
      <c r="C528" s="37"/>
      <c r="D528" s="37"/>
      <c r="E528" s="37"/>
      <c r="F528" s="36"/>
      <c r="G528" s="37"/>
      <c r="H528" s="37"/>
      <c r="I528" s="78"/>
      <c r="J528" s="78"/>
      <c r="K528" s="38"/>
      <c r="L528" s="35"/>
      <c r="M528" s="453"/>
      <c r="N528" s="37"/>
      <c r="O528" s="37"/>
      <c r="P528" s="37"/>
      <c r="Q528" s="37"/>
      <c r="R528" s="37"/>
      <c r="S528" s="37"/>
      <c r="T528" s="37"/>
      <c r="U528" s="37"/>
      <c r="V528" s="37"/>
      <c r="W528" s="37"/>
      <c r="X528" s="37"/>
      <c r="Y528" s="37"/>
      <c r="Z528" s="37"/>
      <c r="AA528" s="37"/>
    </row>
    <row r="529" spans="1:27">
      <c r="A529" s="37"/>
      <c r="B529" s="37"/>
      <c r="C529" s="37"/>
      <c r="D529" s="37"/>
      <c r="E529" s="37"/>
      <c r="F529" s="36"/>
      <c r="G529" s="37"/>
      <c r="H529" s="37"/>
      <c r="I529" s="78"/>
      <c r="J529" s="78"/>
      <c r="K529" s="38"/>
      <c r="L529" s="35"/>
      <c r="M529" s="453"/>
      <c r="N529" s="37"/>
      <c r="O529" s="37"/>
      <c r="P529" s="37"/>
      <c r="Q529" s="37"/>
      <c r="R529" s="37"/>
      <c r="S529" s="37"/>
      <c r="T529" s="37"/>
      <c r="U529" s="37"/>
      <c r="V529" s="37"/>
      <c r="W529" s="37"/>
      <c r="X529" s="37"/>
      <c r="Y529" s="37"/>
      <c r="Z529" s="37"/>
      <c r="AA529" s="37"/>
    </row>
    <row r="530" spans="1:27">
      <c r="A530" s="37"/>
      <c r="B530" s="37"/>
      <c r="C530" s="37"/>
      <c r="D530" s="37"/>
      <c r="E530" s="37"/>
      <c r="F530" s="36"/>
      <c r="G530" s="37"/>
      <c r="H530" s="37"/>
      <c r="I530" s="78"/>
      <c r="J530" s="78"/>
      <c r="K530" s="38"/>
      <c r="L530" s="35"/>
      <c r="M530" s="453"/>
      <c r="N530" s="37"/>
      <c r="O530" s="37"/>
      <c r="P530" s="37"/>
      <c r="Q530" s="37"/>
      <c r="R530" s="37"/>
      <c r="S530" s="37"/>
      <c r="T530" s="37"/>
      <c r="U530" s="37"/>
      <c r="V530" s="37"/>
      <c r="W530" s="37"/>
      <c r="X530" s="37"/>
      <c r="Y530" s="37"/>
      <c r="Z530" s="37"/>
      <c r="AA530" s="37"/>
    </row>
    <row r="531" spans="1:27">
      <c r="A531" s="37"/>
      <c r="B531" s="37"/>
      <c r="C531" s="37"/>
      <c r="D531" s="37"/>
      <c r="E531" s="37"/>
      <c r="F531" s="36"/>
      <c r="G531" s="37"/>
      <c r="H531" s="37"/>
      <c r="I531" s="78"/>
      <c r="J531" s="78"/>
      <c r="K531" s="38"/>
      <c r="L531" s="35"/>
      <c r="M531" s="453"/>
      <c r="N531" s="37"/>
      <c r="O531" s="37"/>
      <c r="P531" s="37"/>
      <c r="Q531" s="37"/>
      <c r="R531" s="37"/>
      <c r="S531" s="37"/>
      <c r="T531" s="37"/>
      <c r="U531" s="37"/>
      <c r="V531" s="37"/>
      <c r="W531" s="37"/>
      <c r="X531" s="37"/>
      <c r="Y531" s="37"/>
      <c r="Z531" s="37"/>
      <c r="AA531" s="37"/>
    </row>
    <row r="532" spans="1:27">
      <c r="A532" s="37"/>
      <c r="B532" s="37"/>
      <c r="C532" s="37"/>
      <c r="D532" s="37"/>
      <c r="E532" s="37"/>
      <c r="F532" s="36"/>
      <c r="G532" s="37"/>
      <c r="H532" s="37"/>
      <c r="I532" s="78"/>
      <c r="J532" s="78"/>
      <c r="K532" s="38"/>
      <c r="L532" s="35"/>
      <c r="M532" s="453"/>
      <c r="N532" s="37"/>
      <c r="O532" s="37"/>
      <c r="P532" s="37"/>
      <c r="Q532" s="37"/>
      <c r="R532" s="37"/>
      <c r="S532" s="37"/>
      <c r="T532" s="37"/>
      <c r="U532" s="37"/>
      <c r="V532" s="37"/>
      <c r="W532" s="37"/>
      <c r="X532" s="37"/>
      <c r="Y532" s="37"/>
      <c r="Z532" s="37"/>
      <c r="AA532" s="37"/>
    </row>
    <row r="533" spans="1:27">
      <c r="A533" s="37"/>
      <c r="B533" s="37"/>
      <c r="C533" s="37"/>
      <c r="D533" s="37"/>
      <c r="E533" s="37"/>
      <c r="F533" s="36"/>
      <c r="G533" s="37"/>
      <c r="H533" s="37"/>
      <c r="I533" s="78"/>
      <c r="J533" s="78"/>
      <c r="K533" s="38"/>
      <c r="L533" s="35"/>
      <c r="M533" s="453"/>
      <c r="N533" s="37"/>
      <c r="O533" s="37"/>
      <c r="P533" s="37"/>
      <c r="Q533" s="37"/>
      <c r="R533" s="37"/>
      <c r="S533" s="37"/>
      <c r="T533" s="37"/>
      <c r="U533" s="37"/>
      <c r="V533" s="37"/>
      <c r="W533" s="37"/>
      <c r="X533" s="37"/>
      <c r="Y533" s="37"/>
      <c r="Z533" s="37"/>
      <c r="AA533" s="37"/>
    </row>
    <row r="534" spans="1:27">
      <c r="A534" s="37"/>
      <c r="B534" s="37"/>
      <c r="C534" s="37"/>
      <c r="D534" s="37"/>
      <c r="E534" s="37"/>
      <c r="F534" s="36"/>
      <c r="G534" s="37"/>
      <c r="H534" s="37"/>
      <c r="I534" s="78"/>
      <c r="J534" s="78"/>
      <c r="K534" s="38"/>
      <c r="L534" s="35"/>
      <c r="M534" s="453"/>
      <c r="N534" s="37"/>
      <c r="O534" s="37"/>
      <c r="P534" s="37"/>
      <c r="Q534" s="37"/>
      <c r="R534" s="37"/>
      <c r="S534" s="37"/>
      <c r="T534" s="37"/>
      <c r="U534" s="37"/>
      <c r="V534" s="37"/>
      <c r="W534" s="37"/>
      <c r="X534" s="37"/>
      <c r="Y534" s="37"/>
      <c r="Z534" s="37"/>
      <c r="AA534" s="37"/>
    </row>
    <row r="535" spans="1:27">
      <c r="A535" s="37"/>
      <c r="B535" s="37"/>
      <c r="C535" s="37"/>
      <c r="D535" s="37"/>
      <c r="E535" s="37"/>
      <c r="F535" s="36"/>
      <c r="G535" s="37"/>
      <c r="H535" s="37"/>
      <c r="I535" s="78"/>
      <c r="J535" s="78"/>
      <c r="K535" s="38"/>
      <c r="L535" s="35"/>
      <c r="M535" s="453"/>
      <c r="N535" s="37"/>
      <c r="O535" s="37"/>
      <c r="P535" s="37"/>
      <c r="Q535" s="37"/>
      <c r="R535" s="37"/>
      <c r="S535" s="37"/>
      <c r="T535" s="37"/>
      <c r="U535" s="37"/>
      <c r="V535" s="37"/>
      <c r="W535" s="37"/>
      <c r="X535" s="37"/>
      <c r="Y535" s="37"/>
      <c r="Z535" s="37"/>
      <c r="AA535" s="37"/>
    </row>
    <row r="536" spans="1:27">
      <c r="A536" s="37"/>
      <c r="B536" s="37"/>
      <c r="C536" s="37"/>
      <c r="D536" s="37"/>
      <c r="E536" s="37"/>
      <c r="F536" s="36"/>
      <c r="G536" s="37"/>
      <c r="H536" s="37"/>
      <c r="I536" s="78"/>
      <c r="J536" s="78"/>
      <c r="K536" s="38"/>
      <c r="L536" s="35"/>
      <c r="M536" s="453"/>
      <c r="N536" s="37"/>
      <c r="O536" s="37"/>
      <c r="P536" s="37"/>
      <c r="Q536" s="37"/>
      <c r="R536" s="37"/>
      <c r="S536" s="37"/>
      <c r="T536" s="37"/>
      <c r="U536" s="37"/>
      <c r="V536" s="37"/>
      <c r="W536" s="37"/>
      <c r="X536" s="37"/>
      <c r="Y536" s="37"/>
      <c r="Z536" s="37"/>
      <c r="AA536" s="37"/>
    </row>
    <row r="537" spans="1:27">
      <c r="A537" s="37"/>
      <c r="B537" s="37"/>
      <c r="C537" s="37"/>
      <c r="D537" s="37"/>
      <c r="E537" s="37"/>
      <c r="F537" s="36"/>
      <c r="G537" s="37"/>
      <c r="H537" s="37"/>
      <c r="I537" s="78"/>
      <c r="J537" s="78"/>
      <c r="K537" s="38"/>
      <c r="L537" s="35"/>
      <c r="M537" s="453"/>
      <c r="N537" s="37"/>
      <c r="O537" s="37"/>
      <c r="P537" s="37"/>
      <c r="Q537" s="37"/>
      <c r="R537" s="37"/>
      <c r="S537" s="37"/>
      <c r="T537" s="37"/>
      <c r="U537" s="37"/>
      <c r="V537" s="37"/>
      <c r="W537" s="37"/>
      <c r="X537" s="37"/>
      <c r="Y537" s="37"/>
      <c r="Z537" s="37"/>
      <c r="AA537" s="37"/>
    </row>
    <row r="538" spans="1:27">
      <c r="A538" s="37"/>
      <c r="B538" s="37"/>
      <c r="C538" s="37"/>
      <c r="D538" s="37"/>
      <c r="E538" s="37"/>
      <c r="F538" s="36"/>
      <c r="G538" s="37"/>
      <c r="H538" s="37"/>
      <c r="I538" s="78"/>
      <c r="J538" s="78"/>
      <c r="K538" s="38"/>
      <c r="L538" s="35"/>
      <c r="M538" s="453"/>
      <c r="N538" s="37"/>
      <c r="O538" s="37"/>
      <c r="P538" s="37"/>
      <c r="Q538" s="37"/>
      <c r="R538" s="37"/>
      <c r="S538" s="37"/>
      <c r="T538" s="37"/>
      <c r="U538" s="37"/>
      <c r="V538" s="37"/>
      <c r="W538" s="37"/>
      <c r="X538" s="37"/>
      <c r="Y538" s="37"/>
      <c r="Z538" s="37"/>
      <c r="AA538" s="37"/>
    </row>
    <row r="539" spans="1:27">
      <c r="A539" s="37"/>
      <c r="B539" s="37"/>
      <c r="C539" s="37"/>
      <c r="D539" s="37"/>
      <c r="E539" s="37"/>
      <c r="F539" s="36"/>
      <c r="G539" s="37"/>
      <c r="H539" s="37"/>
      <c r="I539" s="78"/>
      <c r="J539" s="78"/>
      <c r="K539" s="38"/>
      <c r="L539" s="35"/>
      <c r="M539" s="453"/>
      <c r="N539" s="37"/>
      <c r="O539" s="37"/>
      <c r="P539" s="37"/>
      <c r="Q539" s="37"/>
      <c r="R539" s="37"/>
      <c r="S539" s="37"/>
      <c r="T539" s="37"/>
      <c r="U539" s="37"/>
      <c r="V539" s="37"/>
      <c r="W539" s="37"/>
      <c r="X539" s="37"/>
      <c r="Y539" s="37"/>
      <c r="Z539" s="37"/>
      <c r="AA539" s="37"/>
    </row>
    <row r="540" spans="1:27">
      <c r="A540" s="37"/>
      <c r="B540" s="37"/>
      <c r="C540" s="37"/>
      <c r="D540" s="37"/>
      <c r="E540" s="37"/>
      <c r="F540" s="36"/>
      <c r="G540" s="37"/>
      <c r="H540" s="37"/>
      <c r="I540" s="78"/>
      <c r="J540" s="78"/>
      <c r="K540" s="38"/>
      <c r="L540" s="35"/>
      <c r="M540" s="453"/>
      <c r="N540" s="37"/>
      <c r="O540" s="37"/>
      <c r="P540" s="37"/>
      <c r="Q540" s="37"/>
      <c r="R540" s="37"/>
      <c r="S540" s="37"/>
      <c r="T540" s="37"/>
      <c r="U540" s="37"/>
      <c r="V540" s="37"/>
      <c r="W540" s="37"/>
      <c r="X540" s="37"/>
      <c r="Y540" s="37"/>
      <c r="Z540" s="37"/>
      <c r="AA540" s="37"/>
    </row>
    <row r="541" spans="1:27">
      <c r="A541" s="37"/>
      <c r="B541" s="37"/>
      <c r="C541" s="37"/>
      <c r="D541" s="37"/>
      <c r="E541" s="37"/>
      <c r="F541" s="36"/>
      <c r="G541" s="37"/>
      <c r="H541" s="37"/>
      <c r="I541" s="78"/>
      <c r="J541" s="78"/>
      <c r="K541" s="38"/>
      <c r="L541" s="35"/>
      <c r="M541" s="453"/>
      <c r="N541" s="37"/>
      <c r="O541" s="37"/>
      <c r="P541" s="37"/>
      <c r="Q541" s="37"/>
      <c r="R541" s="37"/>
      <c r="S541" s="37"/>
      <c r="T541" s="37"/>
      <c r="U541" s="37"/>
      <c r="V541" s="37"/>
      <c r="W541" s="37"/>
      <c r="X541" s="37"/>
      <c r="Y541" s="37"/>
      <c r="Z541" s="37"/>
      <c r="AA541" s="37"/>
    </row>
    <row r="542" spans="1:27">
      <c r="A542" s="37"/>
      <c r="B542" s="37"/>
      <c r="C542" s="37"/>
      <c r="D542" s="37"/>
      <c r="E542" s="37"/>
      <c r="F542" s="36"/>
      <c r="G542" s="37"/>
      <c r="H542" s="37"/>
      <c r="I542" s="78"/>
      <c r="J542" s="78"/>
      <c r="K542" s="38"/>
      <c r="L542" s="35"/>
      <c r="M542" s="453"/>
      <c r="N542" s="37"/>
      <c r="O542" s="37"/>
      <c r="P542" s="37"/>
      <c r="Q542" s="37"/>
      <c r="R542" s="37"/>
      <c r="S542" s="37"/>
      <c r="T542" s="37"/>
      <c r="U542" s="37"/>
      <c r="V542" s="37"/>
      <c r="W542" s="37"/>
      <c r="X542" s="37"/>
      <c r="Y542" s="37"/>
      <c r="Z542" s="37"/>
      <c r="AA542" s="37"/>
    </row>
    <row r="543" spans="1:27">
      <c r="A543" s="37"/>
      <c r="B543" s="37"/>
      <c r="C543" s="37"/>
      <c r="D543" s="37"/>
      <c r="E543" s="37"/>
      <c r="F543" s="36"/>
      <c r="G543" s="37"/>
      <c r="H543" s="37"/>
      <c r="I543" s="78"/>
      <c r="J543" s="78"/>
      <c r="K543" s="38"/>
      <c r="L543" s="35"/>
      <c r="M543" s="453"/>
      <c r="N543" s="37"/>
      <c r="O543" s="37"/>
      <c r="P543" s="37"/>
      <c r="Q543" s="37"/>
      <c r="R543" s="37"/>
      <c r="S543" s="37"/>
      <c r="T543" s="37"/>
      <c r="U543" s="37"/>
      <c r="V543" s="37"/>
      <c r="W543" s="37"/>
      <c r="X543" s="37"/>
      <c r="Y543" s="37"/>
      <c r="Z543" s="37"/>
      <c r="AA543" s="37"/>
    </row>
    <row r="544" spans="1:27">
      <c r="A544" s="37"/>
      <c r="B544" s="37"/>
      <c r="C544" s="37"/>
      <c r="D544" s="37"/>
      <c r="E544" s="37"/>
      <c r="F544" s="36"/>
      <c r="G544" s="37"/>
      <c r="H544" s="37"/>
      <c r="I544" s="78"/>
      <c r="J544" s="78"/>
      <c r="K544" s="38"/>
      <c r="L544" s="35"/>
      <c r="M544" s="453"/>
      <c r="N544" s="37"/>
      <c r="O544" s="37"/>
      <c r="P544" s="37"/>
      <c r="Q544" s="37"/>
      <c r="R544" s="37"/>
      <c r="S544" s="37"/>
      <c r="T544" s="37"/>
      <c r="U544" s="37"/>
      <c r="V544" s="37"/>
      <c r="W544" s="37"/>
      <c r="X544" s="37"/>
      <c r="Y544" s="37"/>
      <c r="Z544" s="37"/>
      <c r="AA544" s="37"/>
    </row>
    <row r="545" spans="1:27">
      <c r="A545" s="37"/>
      <c r="B545" s="37"/>
      <c r="C545" s="37"/>
      <c r="D545" s="37"/>
      <c r="E545" s="37"/>
      <c r="F545" s="36"/>
      <c r="G545" s="37"/>
      <c r="H545" s="37"/>
      <c r="I545" s="78"/>
      <c r="J545" s="78"/>
      <c r="K545" s="38"/>
      <c r="L545" s="35"/>
      <c r="M545" s="453"/>
      <c r="N545" s="37"/>
      <c r="O545" s="37"/>
      <c r="P545" s="37"/>
      <c r="Q545" s="37"/>
      <c r="R545" s="37"/>
      <c r="S545" s="37"/>
      <c r="T545" s="37"/>
      <c r="U545" s="37"/>
      <c r="V545" s="37"/>
      <c r="W545" s="37"/>
      <c r="X545" s="37"/>
      <c r="Y545" s="37"/>
      <c r="Z545" s="37"/>
      <c r="AA545" s="37"/>
    </row>
    <row r="546" spans="1:27">
      <c r="A546" s="37"/>
      <c r="B546" s="37"/>
      <c r="C546" s="37"/>
      <c r="D546" s="37"/>
      <c r="E546" s="37"/>
      <c r="F546" s="36"/>
      <c r="G546" s="37"/>
      <c r="H546" s="37"/>
      <c r="I546" s="78"/>
      <c r="J546" s="78"/>
      <c r="K546" s="38"/>
      <c r="L546" s="35"/>
      <c r="M546" s="453"/>
      <c r="N546" s="37"/>
      <c r="O546" s="37"/>
      <c r="P546" s="37"/>
      <c r="Q546" s="37"/>
      <c r="R546" s="37"/>
      <c r="S546" s="37"/>
      <c r="T546" s="37"/>
      <c r="U546" s="37"/>
      <c r="V546" s="37"/>
      <c r="W546" s="37"/>
      <c r="X546" s="37"/>
      <c r="Y546" s="37"/>
      <c r="Z546" s="37"/>
      <c r="AA546" s="37"/>
    </row>
    <row r="547" spans="1:27">
      <c r="A547" s="37"/>
      <c r="B547" s="37"/>
      <c r="C547" s="37"/>
      <c r="D547" s="37"/>
      <c r="E547" s="37"/>
      <c r="F547" s="36"/>
      <c r="G547" s="37"/>
      <c r="H547" s="37"/>
      <c r="I547" s="78"/>
      <c r="J547" s="78"/>
      <c r="K547" s="38"/>
      <c r="L547" s="35"/>
      <c r="M547" s="453"/>
      <c r="N547" s="37"/>
      <c r="O547" s="37"/>
      <c r="P547" s="37"/>
      <c r="Q547" s="37"/>
      <c r="R547" s="37"/>
      <c r="S547" s="37"/>
      <c r="T547" s="37"/>
      <c r="U547" s="37"/>
      <c r="V547" s="37"/>
      <c r="W547" s="37"/>
      <c r="X547" s="37"/>
      <c r="Y547" s="37"/>
      <c r="Z547" s="37"/>
      <c r="AA547" s="37"/>
    </row>
    <row r="548" spans="1:27">
      <c r="A548" s="37"/>
      <c r="B548" s="37"/>
      <c r="C548" s="37"/>
      <c r="D548" s="37"/>
      <c r="E548" s="37"/>
      <c r="F548" s="36"/>
      <c r="G548" s="37"/>
      <c r="H548" s="37"/>
      <c r="I548" s="78"/>
      <c r="J548" s="78"/>
      <c r="K548" s="38"/>
      <c r="L548" s="35"/>
      <c r="M548" s="453"/>
      <c r="N548" s="37"/>
      <c r="O548" s="37"/>
      <c r="P548" s="37"/>
      <c r="Q548" s="37"/>
      <c r="R548" s="37"/>
      <c r="S548" s="37"/>
      <c r="T548" s="37"/>
      <c r="U548" s="37"/>
      <c r="V548" s="37"/>
      <c r="W548" s="37"/>
      <c r="X548" s="37"/>
      <c r="Y548" s="37"/>
      <c r="Z548" s="37"/>
      <c r="AA548" s="37"/>
    </row>
    <row r="549" spans="1:27">
      <c r="A549" s="37"/>
      <c r="B549" s="37"/>
      <c r="C549" s="37"/>
      <c r="D549" s="37"/>
      <c r="E549" s="37"/>
      <c r="F549" s="36"/>
      <c r="G549" s="37"/>
      <c r="H549" s="37"/>
      <c r="I549" s="78"/>
      <c r="J549" s="78"/>
      <c r="K549" s="38"/>
      <c r="L549" s="35"/>
      <c r="M549" s="453"/>
      <c r="N549" s="37"/>
      <c r="O549" s="37"/>
      <c r="P549" s="37"/>
      <c r="Q549" s="37"/>
      <c r="R549" s="37"/>
      <c r="S549" s="37"/>
      <c r="T549" s="37"/>
      <c r="U549" s="37"/>
      <c r="V549" s="37"/>
      <c r="W549" s="37"/>
      <c r="X549" s="37"/>
      <c r="Y549" s="37"/>
      <c r="Z549" s="37"/>
      <c r="AA549" s="37"/>
    </row>
    <row r="550" spans="1:27">
      <c r="A550" s="37"/>
      <c r="B550" s="37"/>
      <c r="C550" s="37"/>
      <c r="D550" s="37"/>
      <c r="E550" s="37"/>
      <c r="F550" s="36"/>
      <c r="G550" s="37"/>
      <c r="H550" s="37"/>
      <c r="I550" s="78"/>
      <c r="J550" s="78"/>
      <c r="K550" s="38"/>
      <c r="L550" s="35"/>
      <c r="M550" s="453"/>
      <c r="N550" s="37"/>
      <c r="O550" s="37"/>
      <c r="P550" s="37"/>
      <c r="Q550" s="37"/>
      <c r="R550" s="37"/>
      <c r="S550" s="37"/>
      <c r="T550" s="37"/>
      <c r="U550" s="37"/>
      <c r="V550" s="37"/>
      <c r="W550" s="37"/>
      <c r="X550" s="37"/>
      <c r="Y550" s="37"/>
      <c r="Z550" s="37"/>
      <c r="AA550" s="37"/>
    </row>
    <row r="551" spans="1:27">
      <c r="A551" s="37"/>
      <c r="B551" s="37"/>
      <c r="C551" s="37"/>
      <c r="D551" s="37"/>
      <c r="E551" s="37"/>
      <c r="F551" s="36"/>
      <c r="G551" s="37"/>
      <c r="H551" s="37"/>
      <c r="I551" s="78"/>
      <c r="J551" s="78"/>
      <c r="K551" s="38"/>
      <c r="L551" s="35"/>
      <c r="M551" s="453"/>
      <c r="N551" s="37"/>
      <c r="O551" s="37"/>
      <c r="P551" s="37"/>
      <c r="Q551" s="37"/>
      <c r="R551" s="37"/>
      <c r="S551" s="37"/>
      <c r="T551" s="37"/>
      <c r="U551" s="37"/>
      <c r="V551" s="37"/>
      <c r="W551" s="37"/>
      <c r="X551" s="37"/>
      <c r="Y551" s="37"/>
      <c r="Z551" s="37"/>
      <c r="AA551" s="37"/>
    </row>
    <row r="552" spans="1:27">
      <c r="A552" s="37"/>
      <c r="B552" s="37"/>
      <c r="C552" s="37"/>
      <c r="D552" s="37"/>
      <c r="E552" s="37"/>
      <c r="F552" s="36"/>
      <c r="G552" s="37"/>
      <c r="H552" s="37"/>
      <c r="I552" s="78"/>
      <c r="J552" s="78"/>
      <c r="K552" s="38"/>
      <c r="L552" s="35"/>
      <c r="M552" s="453"/>
      <c r="N552" s="37"/>
      <c r="O552" s="37"/>
      <c r="P552" s="37"/>
      <c r="Q552" s="37"/>
      <c r="R552" s="37"/>
      <c r="S552" s="37"/>
      <c r="T552" s="37"/>
      <c r="U552" s="37"/>
      <c r="V552" s="37"/>
      <c r="W552" s="37"/>
      <c r="X552" s="37"/>
      <c r="Y552" s="37"/>
      <c r="Z552" s="37"/>
      <c r="AA552" s="37"/>
    </row>
    <row r="553" spans="1:27">
      <c r="A553" s="37"/>
      <c r="B553" s="37"/>
      <c r="C553" s="37"/>
      <c r="D553" s="37"/>
      <c r="E553" s="37"/>
      <c r="F553" s="36"/>
      <c r="G553" s="37"/>
      <c r="H553" s="37"/>
      <c r="I553" s="78"/>
      <c r="J553" s="78"/>
      <c r="K553" s="38"/>
      <c r="L553" s="35"/>
      <c r="M553" s="453"/>
      <c r="N553" s="37"/>
      <c r="O553" s="37"/>
      <c r="P553" s="37"/>
      <c r="Q553" s="37"/>
      <c r="R553" s="37"/>
      <c r="S553" s="37"/>
      <c r="T553" s="37"/>
      <c r="U553" s="37"/>
      <c r="V553" s="37"/>
      <c r="W553" s="37"/>
      <c r="X553" s="37"/>
      <c r="Y553" s="37"/>
      <c r="Z553" s="37"/>
      <c r="AA553" s="37"/>
    </row>
    <row r="554" spans="1:27">
      <c r="A554" s="37"/>
      <c r="B554" s="37"/>
      <c r="C554" s="37"/>
      <c r="D554" s="37"/>
      <c r="E554" s="37"/>
      <c r="F554" s="36"/>
      <c r="G554" s="37"/>
      <c r="H554" s="37"/>
      <c r="I554" s="78"/>
      <c r="J554" s="78"/>
      <c r="K554" s="38"/>
      <c r="L554" s="35"/>
      <c r="M554" s="453"/>
      <c r="N554" s="37"/>
      <c r="O554" s="37"/>
      <c r="P554" s="37"/>
      <c r="Q554" s="37"/>
      <c r="R554" s="37"/>
      <c r="S554" s="37"/>
      <c r="T554" s="37"/>
      <c r="U554" s="37"/>
      <c r="V554" s="37"/>
      <c r="W554" s="37"/>
      <c r="X554" s="37"/>
      <c r="Y554" s="37"/>
      <c r="Z554" s="37"/>
      <c r="AA554" s="37"/>
    </row>
    <row r="555" spans="1:27">
      <c r="A555" s="37"/>
      <c r="B555" s="37"/>
      <c r="C555" s="37"/>
      <c r="D555" s="37"/>
      <c r="E555" s="37"/>
      <c r="F555" s="36"/>
      <c r="G555" s="37"/>
      <c r="H555" s="37"/>
      <c r="I555" s="78"/>
      <c r="J555" s="78"/>
      <c r="K555" s="38"/>
      <c r="L555" s="35"/>
      <c r="M555" s="453"/>
      <c r="N555" s="37"/>
      <c r="O555" s="37"/>
      <c r="P555" s="37"/>
      <c r="Q555" s="37"/>
      <c r="R555" s="37"/>
      <c r="S555" s="37"/>
      <c r="T555" s="37"/>
      <c r="U555" s="37"/>
      <c r="V555" s="37"/>
      <c r="W555" s="37"/>
      <c r="X555" s="37"/>
      <c r="Y555" s="37"/>
      <c r="Z555" s="37"/>
      <c r="AA555" s="37"/>
    </row>
    <row r="556" spans="1:27">
      <c r="A556" s="37"/>
      <c r="B556" s="37"/>
      <c r="C556" s="37"/>
      <c r="D556" s="37"/>
      <c r="E556" s="37"/>
      <c r="F556" s="36"/>
      <c r="G556" s="37"/>
      <c r="H556" s="37"/>
      <c r="I556" s="78"/>
      <c r="J556" s="78"/>
      <c r="K556" s="38"/>
      <c r="L556" s="35"/>
      <c r="M556" s="453"/>
      <c r="N556" s="37"/>
      <c r="O556" s="37"/>
      <c r="P556" s="37"/>
      <c r="Q556" s="37"/>
      <c r="R556" s="37"/>
      <c r="S556" s="37"/>
      <c r="T556" s="37"/>
      <c r="U556" s="37"/>
      <c r="V556" s="37"/>
      <c r="W556" s="37"/>
      <c r="X556" s="37"/>
      <c r="Y556" s="37"/>
      <c r="Z556" s="37"/>
      <c r="AA556" s="37"/>
    </row>
    <row r="557" spans="1:27">
      <c r="A557" s="37"/>
      <c r="B557" s="37"/>
      <c r="C557" s="37"/>
      <c r="D557" s="37"/>
      <c r="E557" s="37"/>
      <c r="F557" s="36"/>
      <c r="G557" s="37"/>
      <c r="H557" s="37"/>
      <c r="I557" s="78"/>
      <c r="J557" s="78"/>
      <c r="K557" s="38"/>
      <c r="L557" s="35"/>
      <c r="M557" s="453"/>
      <c r="N557" s="37"/>
      <c r="O557" s="37"/>
      <c r="P557" s="37"/>
      <c r="Q557" s="37"/>
      <c r="R557" s="37"/>
      <c r="S557" s="37"/>
      <c r="T557" s="37"/>
      <c r="U557" s="37"/>
      <c r="V557" s="37"/>
      <c r="W557" s="37"/>
      <c r="X557" s="37"/>
      <c r="Y557" s="37"/>
      <c r="Z557" s="37"/>
      <c r="AA557" s="37"/>
    </row>
    <row r="558" spans="1:27">
      <c r="A558" s="37"/>
      <c r="B558" s="37"/>
      <c r="C558" s="37"/>
      <c r="D558" s="37"/>
      <c r="E558" s="37"/>
      <c r="F558" s="36"/>
      <c r="G558" s="37"/>
      <c r="H558" s="37"/>
      <c r="I558" s="78"/>
      <c r="J558" s="78"/>
      <c r="K558" s="38"/>
      <c r="L558" s="35"/>
      <c r="M558" s="453"/>
      <c r="N558" s="37"/>
      <c r="O558" s="37"/>
      <c r="P558" s="37"/>
      <c r="Q558" s="37"/>
      <c r="R558" s="37"/>
      <c r="S558" s="37"/>
      <c r="T558" s="37"/>
      <c r="U558" s="37"/>
      <c r="V558" s="37"/>
      <c r="W558" s="37"/>
      <c r="X558" s="37"/>
      <c r="Y558" s="37"/>
      <c r="Z558" s="37"/>
      <c r="AA558" s="37"/>
    </row>
    <row r="559" spans="1:27">
      <c r="A559" s="37"/>
      <c r="B559" s="37"/>
      <c r="C559" s="37"/>
      <c r="D559" s="37"/>
      <c r="E559" s="37"/>
      <c r="F559" s="36"/>
      <c r="G559" s="37"/>
      <c r="H559" s="37"/>
      <c r="I559" s="78"/>
      <c r="J559" s="78"/>
      <c r="K559" s="38"/>
      <c r="L559" s="35"/>
      <c r="M559" s="453"/>
      <c r="N559" s="37"/>
      <c r="O559" s="37"/>
      <c r="P559" s="37"/>
      <c r="Q559" s="37"/>
      <c r="R559" s="37"/>
      <c r="S559" s="37"/>
      <c r="T559" s="37"/>
      <c r="U559" s="37"/>
      <c r="V559" s="37"/>
      <c r="W559" s="37"/>
      <c r="X559" s="37"/>
      <c r="Y559" s="37"/>
      <c r="Z559" s="37"/>
      <c r="AA559" s="37"/>
    </row>
    <row r="560" spans="1:27">
      <c r="A560" s="37"/>
      <c r="B560" s="37"/>
      <c r="C560" s="37"/>
      <c r="D560" s="37"/>
      <c r="E560" s="37"/>
      <c r="F560" s="36"/>
      <c r="G560" s="37"/>
      <c r="H560" s="37"/>
      <c r="I560" s="78"/>
      <c r="J560" s="78"/>
      <c r="K560" s="38"/>
      <c r="L560" s="35"/>
      <c r="M560" s="453"/>
      <c r="N560" s="37"/>
      <c r="O560" s="37"/>
      <c r="P560" s="37"/>
      <c r="Q560" s="37"/>
      <c r="R560" s="37"/>
      <c r="S560" s="37"/>
      <c r="T560" s="37"/>
      <c r="U560" s="37"/>
      <c r="V560" s="37"/>
      <c r="W560" s="37"/>
      <c r="X560" s="37"/>
      <c r="Y560" s="37"/>
      <c r="Z560" s="37"/>
      <c r="AA560" s="37"/>
    </row>
    <row r="561" spans="1:27">
      <c r="A561" s="37"/>
      <c r="B561" s="37"/>
      <c r="C561" s="37"/>
      <c r="D561" s="37"/>
      <c r="E561" s="37"/>
      <c r="F561" s="36"/>
      <c r="G561" s="37"/>
      <c r="H561" s="37"/>
      <c r="I561" s="78"/>
      <c r="J561" s="78"/>
      <c r="K561" s="38"/>
      <c r="L561" s="35"/>
      <c r="M561" s="453"/>
      <c r="N561" s="37"/>
      <c r="O561" s="37"/>
      <c r="P561" s="37"/>
      <c r="Q561" s="37"/>
      <c r="R561" s="37"/>
      <c r="S561" s="37"/>
      <c r="T561" s="37"/>
      <c r="U561" s="37"/>
      <c r="V561" s="37"/>
      <c r="W561" s="37"/>
      <c r="X561" s="37"/>
      <c r="Y561" s="37"/>
      <c r="Z561" s="37"/>
      <c r="AA561" s="37"/>
    </row>
    <row r="562" spans="1:27">
      <c r="A562" s="37"/>
      <c r="B562" s="37"/>
      <c r="C562" s="37"/>
      <c r="D562" s="37"/>
      <c r="E562" s="37"/>
      <c r="F562" s="36"/>
      <c r="G562" s="37"/>
      <c r="H562" s="37"/>
      <c r="I562" s="78"/>
      <c r="J562" s="78"/>
      <c r="K562" s="38"/>
      <c r="L562" s="35"/>
      <c r="M562" s="453"/>
      <c r="N562" s="37"/>
      <c r="O562" s="37"/>
      <c r="P562" s="37"/>
      <c r="Q562" s="37"/>
      <c r="R562" s="37"/>
      <c r="S562" s="37"/>
      <c r="T562" s="37"/>
      <c r="U562" s="37"/>
      <c r="V562" s="37"/>
      <c r="W562" s="37"/>
      <c r="X562" s="37"/>
      <c r="Y562" s="37"/>
      <c r="Z562" s="37"/>
      <c r="AA562" s="37"/>
    </row>
    <row r="563" spans="1:27">
      <c r="A563" s="37"/>
      <c r="B563" s="37"/>
      <c r="C563" s="37"/>
      <c r="D563" s="37"/>
      <c r="E563" s="37"/>
      <c r="F563" s="36"/>
      <c r="G563" s="37"/>
      <c r="H563" s="37"/>
      <c r="I563" s="78"/>
      <c r="J563" s="78"/>
      <c r="K563" s="38"/>
      <c r="L563" s="35"/>
      <c r="M563" s="453"/>
      <c r="N563" s="37"/>
      <c r="O563" s="37"/>
      <c r="P563" s="37"/>
      <c r="Q563" s="37"/>
      <c r="R563" s="37"/>
      <c r="S563" s="37"/>
      <c r="T563" s="37"/>
      <c r="U563" s="37"/>
      <c r="V563" s="37"/>
      <c r="W563" s="37"/>
      <c r="X563" s="37"/>
      <c r="Y563" s="37"/>
      <c r="Z563" s="37"/>
      <c r="AA563" s="37"/>
    </row>
    <row r="564" spans="1:27">
      <c r="A564" s="37"/>
      <c r="B564" s="37"/>
      <c r="C564" s="37"/>
      <c r="D564" s="37"/>
      <c r="E564" s="37"/>
      <c r="F564" s="36"/>
      <c r="G564" s="37"/>
      <c r="H564" s="37"/>
      <c r="I564" s="78"/>
      <c r="J564" s="78"/>
      <c r="K564" s="38"/>
      <c r="L564" s="35"/>
      <c r="M564" s="453"/>
      <c r="N564" s="37"/>
      <c r="O564" s="37"/>
      <c r="P564" s="37"/>
      <c r="Q564" s="37"/>
      <c r="R564" s="37"/>
      <c r="S564" s="37"/>
      <c r="T564" s="37"/>
      <c r="U564" s="37"/>
      <c r="V564" s="37"/>
      <c r="W564" s="37"/>
      <c r="X564" s="37"/>
      <c r="Y564" s="37"/>
      <c r="Z564" s="37"/>
      <c r="AA564" s="37"/>
    </row>
    <row r="565" spans="1:27">
      <c r="A565" s="37"/>
      <c r="B565" s="37"/>
      <c r="C565" s="37"/>
      <c r="D565" s="37"/>
      <c r="E565" s="37"/>
      <c r="F565" s="36"/>
      <c r="G565" s="37"/>
      <c r="H565" s="37"/>
      <c r="I565" s="78"/>
      <c r="J565" s="78"/>
      <c r="K565" s="38"/>
      <c r="L565" s="35"/>
      <c r="M565" s="453"/>
      <c r="N565" s="37"/>
      <c r="O565" s="37"/>
      <c r="P565" s="37"/>
      <c r="Q565" s="37"/>
      <c r="R565" s="37"/>
      <c r="S565" s="37"/>
      <c r="T565" s="37"/>
      <c r="U565" s="37"/>
      <c r="V565" s="37"/>
      <c r="W565" s="37"/>
      <c r="X565" s="37"/>
      <c r="Y565" s="37"/>
      <c r="Z565" s="37"/>
      <c r="AA565" s="37"/>
    </row>
    <row r="566" spans="1:27">
      <c r="A566" s="37"/>
      <c r="B566" s="37"/>
      <c r="C566" s="37"/>
      <c r="D566" s="37"/>
      <c r="E566" s="37"/>
      <c r="F566" s="36"/>
      <c r="G566" s="37"/>
      <c r="H566" s="37"/>
      <c r="I566" s="78"/>
      <c r="J566" s="78"/>
      <c r="K566" s="38"/>
      <c r="L566" s="35"/>
      <c r="M566" s="453"/>
      <c r="N566" s="37"/>
      <c r="O566" s="37"/>
      <c r="P566" s="37"/>
      <c r="Q566" s="37"/>
      <c r="R566" s="37"/>
      <c r="S566" s="37"/>
      <c r="T566" s="37"/>
      <c r="U566" s="37"/>
      <c r="V566" s="37"/>
      <c r="W566" s="37"/>
      <c r="X566" s="37"/>
      <c r="Y566" s="37"/>
      <c r="Z566" s="37"/>
      <c r="AA566" s="37"/>
    </row>
    <row r="567" spans="1:27">
      <c r="A567" s="37"/>
      <c r="B567" s="37"/>
      <c r="C567" s="37"/>
      <c r="D567" s="37"/>
      <c r="E567" s="37"/>
      <c r="F567" s="36"/>
      <c r="G567" s="37"/>
      <c r="H567" s="37"/>
      <c r="I567" s="78"/>
      <c r="J567" s="78"/>
      <c r="K567" s="38"/>
      <c r="L567" s="35"/>
      <c r="M567" s="453"/>
      <c r="N567" s="37"/>
      <c r="O567" s="37"/>
      <c r="P567" s="37"/>
      <c r="Q567" s="37"/>
      <c r="R567" s="37"/>
      <c r="S567" s="37"/>
      <c r="T567" s="37"/>
      <c r="U567" s="37"/>
      <c r="V567" s="37"/>
      <c r="W567" s="37"/>
      <c r="X567" s="37"/>
      <c r="Y567" s="37"/>
      <c r="Z567" s="37"/>
      <c r="AA567" s="37"/>
    </row>
    <row r="568" spans="1:27">
      <c r="A568" s="37"/>
      <c r="B568" s="37"/>
      <c r="C568" s="37"/>
      <c r="D568" s="37"/>
      <c r="E568" s="37"/>
      <c r="F568" s="36"/>
      <c r="G568" s="37"/>
      <c r="H568" s="37"/>
      <c r="I568" s="78"/>
      <c r="J568" s="78"/>
      <c r="K568" s="38"/>
      <c r="L568" s="35"/>
      <c r="M568" s="453"/>
      <c r="N568" s="37"/>
      <c r="O568" s="37"/>
      <c r="P568" s="37"/>
      <c r="Q568" s="37"/>
      <c r="R568" s="37"/>
      <c r="S568" s="37"/>
      <c r="T568" s="37"/>
      <c r="U568" s="37"/>
      <c r="V568" s="37"/>
      <c r="W568" s="37"/>
      <c r="X568" s="37"/>
      <c r="Y568" s="37"/>
      <c r="Z568" s="37"/>
      <c r="AA568" s="37"/>
    </row>
    <row r="569" spans="1:27">
      <c r="A569" s="37"/>
      <c r="B569" s="37"/>
      <c r="C569" s="37"/>
      <c r="D569" s="37"/>
      <c r="E569" s="37"/>
      <c r="F569" s="36"/>
      <c r="G569" s="37"/>
      <c r="H569" s="37"/>
      <c r="I569" s="78"/>
      <c r="J569" s="78"/>
      <c r="K569" s="38"/>
      <c r="L569" s="35"/>
      <c r="M569" s="453"/>
      <c r="N569" s="37"/>
      <c r="O569" s="37"/>
      <c r="P569" s="37"/>
      <c r="Q569" s="37"/>
      <c r="R569" s="37"/>
      <c r="S569" s="37"/>
      <c r="T569" s="37"/>
      <c r="U569" s="37"/>
      <c r="V569" s="37"/>
      <c r="W569" s="37"/>
      <c r="X569" s="37"/>
      <c r="Y569" s="37"/>
      <c r="Z569" s="37"/>
      <c r="AA569" s="37"/>
    </row>
    <row r="570" spans="1:27">
      <c r="A570" s="37"/>
      <c r="B570" s="37"/>
      <c r="C570" s="37"/>
      <c r="D570" s="37"/>
      <c r="E570" s="37"/>
      <c r="F570" s="36"/>
      <c r="G570" s="37"/>
      <c r="H570" s="37"/>
      <c r="I570" s="78"/>
      <c r="J570" s="78"/>
      <c r="K570" s="38"/>
      <c r="L570" s="35"/>
      <c r="M570" s="453"/>
      <c r="N570" s="37"/>
      <c r="O570" s="37"/>
      <c r="P570" s="37"/>
      <c r="Q570" s="37"/>
      <c r="R570" s="37"/>
      <c r="S570" s="37"/>
      <c r="T570" s="37"/>
      <c r="U570" s="37"/>
      <c r="V570" s="37"/>
      <c r="W570" s="37"/>
      <c r="X570" s="37"/>
      <c r="Y570" s="37"/>
      <c r="Z570" s="37"/>
      <c r="AA570" s="37"/>
    </row>
    <row r="571" spans="1:27">
      <c r="A571" s="37"/>
      <c r="B571" s="37"/>
      <c r="C571" s="37"/>
      <c r="D571" s="37"/>
      <c r="E571" s="37"/>
      <c r="F571" s="36"/>
      <c r="G571" s="37"/>
      <c r="H571" s="37"/>
      <c r="I571" s="78"/>
      <c r="J571" s="78"/>
      <c r="K571" s="38"/>
      <c r="L571" s="35"/>
      <c r="M571" s="453"/>
      <c r="N571" s="37"/>
      <c r="O571" s="37"/>
      <c r="P571" s="37"/>
      <c r="Q571" s="37"/>
      <c r="R571" s="37"/>
      <c r="S571" s="37"/>
      <c r="T571" s="37"/>
      <c r="U571" s="37"/>
      <c r="V571" s="37"/>
      <c r="W571" s="37"/>
      <c r="X571" s="37"/>
      <c r="Y571" s="37"/>
      <c r="Z571" s="37"/>
      <c r="AA571" s="37"/>
    </row>
    <row r="572" spans="1:27">
      <c r="A572" s="37"/>
      <c r="B572" s="37"/>
      <c r="C572" s="37"/>
      <c r="D572" s="37"/>
      <c r="E572" s="37"/>
      <c r="F572" s="36"/>
      <c r="G572" s="37"/>
      <c r="H572" s="37"/>
      <c r="I572" s="78"/>
      <c r="J572" s="78"/>
      <c r="K572" s="38"/>
      <c r="L572" s="35"/>
      <c r="M572" s="453"/>
      <c r="N572" s="37"/>
      <c r="O572" s="37"/>
      <c r="P572" s="37"/>
      <c r="Q572" s="37"/>
      <c r="R572" s="37"/>
      <c r="S572" s="37"/>
      <c r="T572" s="37"/>
      <c r="U572" s="37"/>
      <c r="V572" s="37"/>
      <c r="W572" s="37"/>
      <c r="X572" s="37"/>
      <c r="Y572" s="37"/>
      <c r="Z572" s="37"/>
      <c r="AA572" s="37"/>
    </row>
    <row r="573" spans="1:27">
      <c r="A573" s="37"/>
      <c r="B573" s="37"/>
      <c r="C573" s="37"/>
      <c r="D573" s="37"/>
      <c r="E573" s="37"/>
      <c r="F573" s="36"/>
      <c r="G573" s="37"/>
      <c r="H573" s="37"/>
      <c r="I573" s="78"/>
      <c r="J573" s="78"/>
      <c r="K573" s="38"/>
      <c r="L573" s="35"/>
      <c r="M573" s="453"/>
      <c r="N573" s="37"/>
      <c r="O573" s="37"/>
      <c r="P573" s="37"/>
      <c r="Q573" s="37"/>
      <c r="R573" s="37"/>
      <c r="S573" s="37"/>
      <c r="T573" s="37"/>
      <c r="U573" s="37"/>
      <c r="V573" s="37"/>
      <c r="W573" s="37"/>
      <c r="X573" s="37"/>
      <c r="Y573" s="37"/>
      <c r="Z573" s="37"/>
      <c r="AA573" s="37"/>
    </row>
    <row r="574" spans="1:27">
      <c r="A574" s="37"/>
      <c r="B574" s="37"/>
      <c r="C574" s="37"/>
      <c r="D574" s="37"/>
      <c r="E574" s="37"/>
      <c r="F574" s="36"/>
      <c r="G574" s="37"/>
      <c r="H574" s="37"/>
      <c r="I574" s="78"/>
      <c r="J574" s="78"/>
      <c r="K574" s="38"/>
      <c r="L574" s="35"/>
      <c r="M574" s="453"/>
      <c r="N574" s="37"/>
      <c r="O574" s="37"/>
      <c r="P574" s="37"/>
      <c r="Q574" s="37"/>
      <c r="R574" s="37"/>
      <c r="S574" s="37"/>
      <c r="T574" s="37"/>
      <c r="U574" s="37"/>
      <c r="V574" s="37"/>
      <c r="W574" s="37"/>
      <c r="X574" s="37"/>
      <c r="Y574" s="37"/>
      <c r="Z574" s="37"/>
      <c r="AA574" s="37"/>
    </row>
    <row r="575" spans="1:27">
      <c r="A575" s="37"/>
      <c r="B575" s="37"/>
      <c r="C575" s="37"/>
      <c r="D575" s="37"/>
      <c r="E575" s="37"/>
      <c r="F575" s="36"/>
      <c r="G575" s="37"/>
      <c r="H575" s="37"/>
      <c r="I575" s="78"/>
      <c r="J575" s="78"/>
      <c r="K575" s="38"/>
      <c r="L575" s="35"/>
      <c r="M575" s="453"/>
      <c r="N575" s="37"/>
      <c r="O575" s="37"/>
      <c r="P575" s="37"/>
      <c r="Q575" s="37"/>
      <c r="R575" s="37"/>
      <c r="S575" s="37"/>
      <c r="T575" s="37"/>
      <c r="U575" s="37"/>
      <c r="V575" s="37"/>
      <c r="W575" s="37"/>
      <c r="X575" s="37"/>
      <c r="Y575" s="37"/>
      <c r="Z575" s="37"/>
      <c r="AA575" s="37"/>
    </row>
    <row r="576" spans="1:27">
      <c r="A576" s="37"/>
      <c r="B576" s="37"/>
      <c r="C576" s="37"/>
      <c r="D576" s="37"/>
      <c r="E576" s="37"/>
      <c r="F576" s="36"/>
      <c r="G576" s="37"/>
      <c r="H576" s="37"/>
      <c r="I576" s="78"/>
      <c r="J576" s="78"/>
      <c r="K576" s="38"/>
      <c r="L576" s="35"/>
      <c r="M576" s="453"/>
      <c r="N576" s="37"/>
      <c r="O576" s="37"/>
      <c r="P576" s="37"/>
      <c r="Q576" s="37"/>
      <c r="R576" s="37"/>
      <c r="S576" s="37"/>
      <c r="T576" s="37"/>
      <c r="U576" s="37"/>
      <c r="V576" s="37"/>
      <c r="W576" s="37"/>
      <c r="X576" s="37"/>
      <c r="Y576" s="37"/>
      <c r="Z576" s="37"/>
      <c r="AA576" s="37"/>
    </row>
    <row r="577" spans="1:27">
      <c r="A577" s="37"/>
      <c r="B577" s="37"/>
      <c r="C577" s="37"/>
      <c r="D577" s="37"/>
      <c r="E577" s="37"/>
      <c r="F577" s="36"/>
      <c r="G577" s="37"/>
      <c r="H577" s="37"/>
      <c r="I577" s="78"/>
      <c r="J577" s="78"/>
      <c r="K577" s="38"/>
      <c r="L577" s="35"/>
      <c r="M577" s="453"/>
      <c r="N577" s="37"/>
      <c r="O577" s="37"/>
      <c r="P577" s="37"/>
      <c r="Q577" s="37"/>
      <c r="R577" s="37"/>
      <c r="S577" s="37"/>
      <c r="T577" s="37"/>
      <c r="U577" s="37"/>
      <c r="V577" s="37"/>
      <c r="W577" s="37"/>
      <c r="X577" s="37"/>
      <c r="Y577" s="37"/>
      <c r="Z577" s="37"/>
      <c r="AA577" s="37"/>
    </row>
    <row r="578" spans="1:27">
      <c r="A578" s="37"/>
      <c r="B578" s="37"/>
      <c r="C578" s="37"/>
      <c r="D578" s="37"/>
      <c r="E578" s="37"/>
      <c r="F578" s="36"/>
      <c r="G578" s="37"/>
      <c r="H578" s="37"/>
      <c r="I578" s="78"/>
      <c r="J578" s="78"/>
      <c r="K578" s="38"/>
      <c r="L578" s="35"/>
      <c r="M578" s="453"/>
      <c r="N578" s="37"/>
      <c r="O578" s="37"/>
      <c r="P578" s="37"/>
      <c r="Q578" s="37"/>
      <c r="R578" s="37"/>
      <c r="S578" s="37"/>
      <c r="T578" s="37"/>
      <c r="U578" s="37"/>
      <c r="V578" s="37"/>
      <c r="W578" s="37"/>
      <c r="X578" s="37"/>
      <c r="Y578" s="37"/>
      <c r="Z578" s="37"/>
      <c r="AA578" s="37"/>
    </row>
    <row r="579" spans="1:27">
      <c r="A579" s="37"/>
      <c r="B579" s="37"/>
      <c r="C579" s="37"/>
      <c r="D579" s="37"/>
      <c r="E579" s="37"/>
      <c r="F579" s="36"/>
      <c r="G579" s="37"/>
      <c r="H579" s="37"/>
      <c r="I579" s="78"/>
      <c r="J579" s="78"/>
      <c r="K579" s="38"/>
      <c r="L579" s="35"/>
      <c r="M579" s="453"/>
      <c r="N579" s="37"/>
      <c r="O579" s="37"/>
      <c r="P579" s="37"/>
      <c r="Q579" s="37"/>
      <c r="R579" s="37"/>
      <c r="S579" s="37"/>
      <c r="T579" s="37"/>
      <c r="U579" s="37"/>
      <c r="V579" s="37"/>
      <c r="W579" s="37"/>
      <c r="X579" s="37"/>
      <c r="Y579" s="37"/>
      <c r="Z579" s="37"/>
      <c r="AA579" s="37"/>
    </row>
    <row r="580" spans="1:27">
      <c r="A580" s="37"/>
      <c r="B580" s="37"/>
      <c r="C580" s="37"/>
      <c r="D580" s="37"/>
      <c r="E580" s="37"/>
      <c r="F580" s="36"/>
      <c r="G580" s="37"/>
      <c r="H580" s="37"/>
      <c r="I580" s="78"/>
      <c r="J580" s="78"/>
      <c r="K580" s="38"/>
      <c r="L580" s="35"/>
      <c r="M580" s="453"/>
      <c r="N580" s="37"/>
      <c r="O580" s="37"/>
      <c r="P580" s="37"/>
      <c r="Q580" s="37"/>
      <c r="R580" s="37"/>
      <c r="S580" s="37"/>
      <c r="T580" s="37"/>
      <c r="U580" s="37"/>
      <c r="V580" s="37"/>
      <c r="W580" s="37"/>
      <c r="X580" s="37"/>
      <c r="Y580" s="37"/>
      <c r="Z580" s="37"/>
      <c r="AA580" s="37"/>
    </row>
    <row r="581" spans="1:27">
      <c r="A581" s="37"/>
      <c r="B581" s="37"/>
      <c r="C581" s="37"/>
      <c r="D581" s="37"/>
      <c r="E581" s="37"/>
      <c r="F581" s="36"/>
      <c r="G581" s="37"/>
      <c r="H581" s="37"/>
      <c r="I581" s="78"/>
      <c r="J581" s="78"/>
      <c r="K581" s="38"/>
      <c r="L581" s="35"/>
      <c r="M581" s="453"/>
      <c r="N581" s="37"/>
      <c r="O581" s="37"/>
      <c r="P581" s="37"/>
      <c r="Q581" s="37"/>
      <c r="R581" s="37"/>
      <c r="S581" s="37"/>
      <c r="T581" s="37"/>
      <c r="U581" s="37"/>
      <c r="V581" s="37"/>
      <c r="W581" s="37"/>
      <c r="X581" s="37"/>
      <c r="Y581" s="37"/>
      <c r="Z581" s="37"/>
      <c r="AA581" s="37"/>
    </row>
    <row r="582" spans="1:27">
      <c r="A582" s="37"/>
      <c r="B582" s="37"/>
      <c r="C582" s="37"/>
      <c r="D582" s="37"/>
      <c r="E582" s="37"/>
      <c r="F582" s="36"/>
      <c r="G582" s="37"/>
      <c r="H582" s="37"/>
      <c r="I582" s="78"/>
      <c r="J582" s="78"/>
      <c r="K582" s="38"/>
      <c r="L582" s="35"/>
      <c r="M582" s="453"/>
      <c r="N582" s="37"/>
      <c r="O582" s="37"/>
      <c r="P582" s="37"/>
      <c r="Q582" s="37"/>
      <c r="R582" s="37"/>
      <c r="S582" s="37"/>
      <c r="T582" s="37"/>
      <c r="U582" s="37"/>
      <c r="V582" s="37"/>
      <c r="W582" s="37"/>
      <c r="X582" s="37"/>
      <c r="Y582" s="37"/>
      <c r="Z582" s="37"/>
      <c r="AA582" s="37"/>
    </row>
    <row r="583" spans="1:27">
      <c r="A583" s="37"/>
      <c r="B583" s="37"/>
      <c r="C583" s="37"/>
      <c r="D583" s="37"/>
      <c r="E583" s="37"/>
      <c r="F583" s="36"/>
      <c r="G583" s="37"/>
      <c r="H583" s="37"/>
      <c r="I583" s="78"/>
      <c r="J583" s="78"/>
      <c r="K583" s="38"/>
      <c r="L583" s="35"/>
      <c r="M583" s="453"/>
      <c r="N583" s="37"/>
      <c r="O583" s="37"/>
      <c r="P583" s="37"/>
      <c r="Q583" s="37"/>
      <c r="R583" s="37"/>
      <c r="S583" s="37"/>
      <c r="T583" s="37"/>
      <c r="U583" s="37"/>
      <c r="V583" s="37"/>
      <c r="W583" s="37"/>
      <c r="X583" s="37"/>
      <c r="Y583" s="37"/>
      <c r="Z583" s="37"/>
      <c r="AA583" s="37"/>
    </row>
    <row r="584" spans="1:27">
      <c r="A584" s="37"/>
      <c r="B584" s="37"/>
      <c r="C584" s="37"/>
      <c r="D584" s="37"/>
      <c r="E584" s="37"/>
      <c r="F584" s="36"/>
      <c r="G584" s="37"/>
      <c r="H584" s="37"/>
      <c r="I584" s="78"/>
      <c r="J584" s="78"/>
      <c r="K584" s="38"/>
      <c r="L584" s="35"/>
      <c r="M584" s="453"/>
      <c r="N584" s="37"/>
      <c r="O584" s="37"/>
      <c r="P584" s="37"/>
      <c r="Q584" s="37"/>
      <c r="R584" s="37"/>
      <c r="S584" s="37"/>
      <c r="T584" s="37"/>
      <c r="U584" s="37"/>
      <c r="V584" s="37"/>
      <c r="W584" s="37"/>
      <c r="X584" s="37"/>
      <c r="Y584" s="37"/>
      <c r="Z584" s="37"/>
      <c r="AA584" s="37"/>
    </row>
    <row r="585" spans="1:27">
      <c r="A585" s="37"/>
      <c r="B585" s="37"/>
      <c r="C585" s="37"/>
      <c r="D585" s="37"/>
      <c r="E585" s="37"/>
      <c r="F585" s="36"/>
      <c r="G585" s="37"/>
      <c r="H585" s="37"/>
      <c r="I585" s="78"/>
      <c r="J585" s="78"/>
      <c r="K585" s="38"/>
      <c r="L585" s="35"/>
      <c r="M585" s="453"/>
      <c r="N585" s="37"/>
      <c r="O585" s="37"/>
      <c r="P585" s="37"/>
      <c r="Q585" s="37"/>
      <c r="R585" s="37"/>
      <c r="S585" s="37"/>
      <c r="T585" s="37"/>
      <c r="U585" s="37"/>
      <c r="V585" s="37"/>
      <c r="W585" s="37"/>
      <c r="X585" s="37"/>
      <c r="Y585" s="37"/>
      <c r="Z585" s="37"/>
      <c r="AA585" s="37"/>
    </row>
    <row r="586" spans="1:27">
      <c r="A586" s="37"/>
      <c r="B586" s="37"/>
      <c r="C586" s="37"/>
      <c r="D586" s="37"/>
      <c r="E586" s="37"/>
      <c r="F586" s="36"/>
      <c r="G586" s="37"/>
      <c r="H586" s="37"/>
      <c r="I586" s="78"/>
      <c r="J586" s="78"/>
      <c r="K586" s="38"/>
      <c r="L586" s="35"/>
      <c r="M586" s="453"/>
      <c r="N586" s="37"/>
      <c r="O586" s="37"/>
      <c r="P586" s="37"/>
      <c r="Q586" s="37"/>
      <c r="R586" s="37"/>
      <c r="S586" s="37"/>
      <c r="T586" s="37"/>
      <c r="U586" s="37"/>
      <c r="V586" s="37"/>
      <c r="W586" s="37"/>
      <c r="X586" s="37"/>
      <c r="Y586" s="37"/>
      <c r="Z586" s="37"/>
      <c r="AA586" s="37"/>
    </row>
    <row r="587" spans="1:27">
      <c r="A587" s="37"/>
      <c r="B587" s="37"/>
      <c r="C587" s="37"/>
      <c r="D587" s="37"/>
      <c r="E587" s="37"/>
      <c r="F587" s="36"/>
      <c r="G587" s="37"/>
      <c r="H587" s="37"/>
      <c r="I587" s="78"/>
      <c r="J587" s="78"/>
      <c r="K587" s="38"/>
      <c r="L587" s="35"/>
      <c r="M587" s="453"/>
      <c r="N587" s="37"/>
      <c r="O587" s="37"/>
      <c r="P587" s="37"/>
      <c r="Q587" s="37"/>
      <c r="R587" s="37"/>
      <c r="S587" s="37"/>
      <c r="T587" s="37"/>
      <c r="U587" s="37"/>
      <c r="V587" s="37"/>
      <c r="W587" s="37"/>
      <c r="X587" s="37"/>
      <c r="Y587" s="37"/>
      <c r="Z587" s="37"/>
      <c r="AA587" s="37"/>
    </row>
    <row r="588" spans="1:27">
      <c r="A588" s="37"/>
      <c r="B588" s="37"/>
      <c r="C588" s="37"/>
      <c r="D588" s="37"/>
      <c r="E588" s="37"/>
      <c r="F588" s="36"/>
      <c r="G588" s="37"/>
      <c r="H588" s="37"/>
      <c r="I588" s="78"/>
      <c r="J588" s="78"/>
      <c r="K588" s="38"/>
      <c r="L588" s="35"/>
      <c r="M588" s="453"/>
      <c r="N588" s="37"/>
      <c r="O588" s="37"/>
      <c r="P588" s="37"/>
      <c r="Q588" s="37"/>
      <c r="R588" s="37"/>
      <c r="S588" s="37"/>
      <c r="T588" s="37"/>
      <c r="U588" s="37"/>
      <c r="V588" s="37"/>
      <c r="W588" s="37"/>
      <c r="X588" s="37"/>
      <c r="Y588" s="37"/>
      <c r="Z588" s="37"/>
      <c r="AA588" s="37"/>
    </row>
    <row r="589" spans="1:27">
      <c r="A589" s="37"/>
      <c r="B589" s="37"/>
      <c r="C589" s="37"/>
      <c r="D589" s="37"/>
      <c r="E589" s="37"/>
      <c r="F589" s="36"/>
      <c r="G589" s="37"/>
      <c r="H589" s="37"/>
      <c r="I589" s="78"/>
      <c r="J589" s="78"/>
      <c r="K589" s="38"/>
      <c r="L589" s="35"/>
      <c r="M589" s="453"/>
      <c r="N589" s="37"/>
      <c r="O589" s="37"/>
      <c r="P589" s="37"/>
      <c r="Q589" s="37"/>
      <c r="R589" s="37"/>
      <c r="S589" s="37"/>
      <c r="T589" s="37"/>
      <c r="U589" s="37"/>
      <c r="V589" s="37"/>
      <c r="W589" s="37"/>
      <c r="X589" s="37"/>
      <c r="Y589" s="37"/>
      <c r="Z589" s="37"/>
      <c r="AA589" s="37"/>
    </row>
    <row r="590" spans="1:27">
      <c r="A590" s="37"/>
      <c r="B590" s="37"/>
      <c r="C590" s="37"/>
      <c r="D590" s="37"/>
      <c r="E590" s="37"/>
      <c r="F590" s="36"/>
      <c r="G590" s="37"/>
      <c r="H590" s="37"/>
      <c r="I590" s="78"/>
      <c r="J590" s="78"/>
      <c r="K590" s="38"/>
      <c r="L590" s="35"/>
      <c r="M590" s="453"/>
      <c r="N590" s="37"/>
      <c r="O590" s="37"/>
      <c r="P590" s="37"/>
      <c r="Q590" s="37"/>
      <c r="R590" s="37"/>
      <c r="S590" s="37"/>
      <c r="T590" s="37"/>
      <c r="U590" s="37"/>
      <c r="V590" s="37"/>
      <c r="W590" s="37"/>
      <c r="X590" s="37"/>
      <c r="Y590" s="37"/>
      <c r="Z590" s="37"/>
      <c r="AA590" s="37"/>
    </row>
    <row r="591" spans="1:27">
      <c r="A591" s="37"/>
      <c r="B591" s="37"/>
      <c r="C591" s="37"/>
      <c r="D591" s="37"/>
      <c r="E591" s="37"/>
      <c r="F591" s="36"/>
      <c r="G591" s="37"/>
      <c r="H591" s="37"/>
      <c r="I591" s="78"/>
      <c r="J591" s="78"/>
      <c r="K591" s="38"/>
      <c r="L591" s="35"/>
      <c r="M591" s="453"/>
      <c r="N591" s="37"/>
      <c r="O591" s="37"/>
      <c r="P591" s="37"/>
      <c r="Q591" s="37"/>
      <c r="R591" s="37"/>
      <c r="S591" s="37"/>
      <c r="T591" s="37"/>
      <c r="U591" s="37"/>
      <c r="V591" s="37"/>
      <c r="W591" s="37"/>
      <c r="X591" s="37"/>
      <c r="Y591" s="37"/>
      <c r="Z591" s="37"/>
      <c r="AA591" s="37"/>
    </row>
    <row r="592" spans="1:27">
      <c r="A592" s="37"/>
      <c r="B592" s="37"/>
      <c r="C592" s="37"/>
      <c r="D592" s="37"/>
      <c r="E592" s="37"/>
      <c r="F592" s="36"/>
      <c r="G592" s="37"/>
      <c r="H592" s="37"/>
      <c r="I592" s="78"/>
      <c r="J592" s="78"/>
      <c r="K592" s="38"/>
      <c r="L592" s="35"/>
      <c r="M592" s="453"/>
      <c r="N592" s="37"/>
      <c r="O592" s="37"/>
      <c r="P592" s="37"/>
      <c r="Q592" s="37"/>
      <c r="R592" s="37"/>
      <c r="S592" s="37"/>
      <c r="T592" s="37"/>
      <c r="U592" s="37"/>
      <c r="V592" s="37"/>
      <c r="W592" s="37"/>
      <c r="X592" s="37"/>
      <c r="Y592" s="37"/>
      <c r="Z592" s="37"/>
      <c r="AA592" s="37"/>
    </row>
    <row r="593" spans="1:27">
      <c r="A593" s="37"/>
      <c r="B593" s="37"/>
      <c r="C593" s="37"/>
      <c r="D593" s="37"/>
      <c r="E593" s="37"/>
      <c r="F593" s="36"/>
      <c r="G593" s="37"/>
      <c r="H593" s="37"/>
      <c r="I593" s="78"/>
      <c r="J593" s="78"/>
      <c r="K593" s="38"/>
      <c r="L593" s="35"/>
      <c r="M593" s="453"/>
      <c r="N593" s="37"/>
      <c r="O593" s="37"/>
      <c r="P593" s="37"/>
      <c r="Q593" s="37"/>
      <c r="R593" s="37"/>
      <c r="S593" s="37"/>
      <c r="T593" s="37"/>
      <c r="U593" s="37"/>
      <c r="V593" s="37"/>
      <c r="W593" s="37"/>
      <c r="X593" s="37"/>
      <c r="Y593" s="37"/>
      <c r="Z593" s="37"/>
      <c r="AA593" s="37"/>
    </row>
    <row r="594" spans="1:27">
      <c r="A594" s="37"/>
      <c r="B594" s="37"/>
      <c r="C594" s="37"/>
      <c r="D594" s="37"/>
      <c r="E594" s="37"/>
      <c r="F594" s="36"/>
      <c r="G594" s="37"/>
      <c r="H594" s="37"/>
      <c r="I594" s="78"/>
      <c r="J594" s="78"/>
      <c r="K594" s="38"/>
      <c r="L594" s="35"/>
      <c r="M594" s="453"/>
      <c r="N594" s="37"/>
      <c r="O594" s="37"/>
      <c r="P594" s="37"/>
      <c r="Q594" s="37"/>
      <c r="R594" s="37"/>
      <c r="S594" s="37"/>
      <c r="T594" s="37"/>
      <c r="U594" s="37"/>
      <c r="V594" s="37"/>
      <c r="W594" s="37"/>
      <c r="X594" s="37"/>
      <c r="Y594" s="37"/>
      <c r="Z594" s="37"/>
      <c r="AA594" s="37"/>
    </row>
    <row r="595" spans="1:27">
      <c r="A595" s="37"/>
      <c r="B595" s="37"/>
      <c r="C595" s="37"/>
      <c r="D595" s="37"/>
      <c r="E595" s="37"/>
      <c r="F595" s="36"/>
      <c r="G595" s="37"/>
      <c r="H595" s="37"/>
      <c r="I595" s="78"/>
      <c r="J595" s="78"/>
      <c r="K595" s="38"/>
      <c r="L595" s="35"/>
      <c r="M595" s="453"/>
      <c r="N595" s="37"/>
      <c r="O595" s="37"/>
      <c r="P595" s="37"/>
      <c r="Q595" s="37"/>
      <c r="R595" s="37"/>
      <c r="S595" s="37"/>
      <c r="T595" s="37"/>
      <c r="U595" s="37"/>
      <c r="V595" s="37"/>
      <c r="W595" s="37"/>
      <c r="X595" s="37"/>
      <c r="Y595" s="37"/>
      <c r="Z595" s="37"/>
      <c r="AA595" s="37"/>
    </row>
    <row r="596" spans="1:27">
      <c r="A596" s="37"/>
      <c r="B596" s="37"/>
      <c r="C596" s="37"/>
      <c r="D596" s="37"/>
      <c r="E596" s="37"/>
      <c r="F596" s="36"/>
      <c r="G596" s="37"/>
      <c r="H596" s="37"/>
      <c r="I596" s="78"/>
      <c r="J596" s="78"/>
      <c r="K596" s="38"/>
      <c r="L596" s="35"/>
      <c r="M596" s="453"/>
      <c r="N596" s="37"/>
      <c r="O596" s="37"/>
      <c r="P596" s="37"/>
      <c r="Q596" s="37"/>
      <c r="R596" s="37"/>
      <c r="S596" s="37"/>
      <c r="T596" s="37"/>
      <c r="U596" s="37"/>
      <c r="V596" s="37"/>
      <c r="W596" s="37"/>
      <c r="X596" s="37"/>
      <c r="Y596" s="37"/>
      <c r="Z596" s="37"/>
      <c r="AA596" s="37"/>
    </row>
    <row r="597" spans="1:27">
      <c r="A597" s="37"/>
      <c r="B597" s="37"/>
      <c r="C597" s="37"/>
      <c r="D597" s="37"/>
      <c r="E597" s="37"/>
      <c r="F597" s="36"/>
      <c r="G597" s="37"/>
      <c r="H597" s="37"/>
      <c r="I597" s="78"/>
      <c r="J597" s="78"/>
      <c r="K597" s="38"/>
      <c r="L597" s="35"/>
      <c r="M597" s="453"/>
      <c r="N597" s="37"/>
      <c r="O597" s="37"/>
      <c r="P597" s="37"/>
      <c r="Q597" s="37"/>
      <c r="R597" s="37"/>
      <c r="S597" s="37"/>
      <c r="T597" s="37"/>
      <c r="U597" s="37"/>
      <c r="V597" s="37"/>
      <c r="W597" s="37"/>
      <c r="X597" s="37"/>
      <c r="Y597" s="37"/>
      <c r="Z597" s="37"/>
      <c r="AA597" s="37"/>
    </row>
    <row r="598" spans="1:27">
      <c r="A598" s="37"/>
      <c r="B598" s="37"/>
      <c r="C598" s="37"/>
      <c r="D598" s="37"/>
      <c r="E598" s="37"/>
      <c r="F598" s="36"/>
      <c r="G598" s="37"/>
      <c r="H598" s="37"/>
      <c r="I598" s="78"/>
      <c r="J598" s="78"/>
      <c r="K598" s="38"/>
      <c r="L598" s="35"/>
      <c r="M598" s="453"/>
      <c r="N598" s="37"/>
      <c r="O598" s="37"/>
      <c r="P598" s="37"/>
      <c r="Q598" s="37"/>
      <c r="R598" s="37"/>
      <c r="S598" s="37"/>
      <c r="T598" s="37"/>
      <c r="U598" s="37"/>
      <c r="V598" s="37"/>
      <c r="W598" s="37"/>
      <c r="X598" s="37"/>
      <c r="Y598" s="37"/>
      <c r="Z598" s="37"/>
      <c r="AA598" s="37"/>
    </row>
    <row r="599" spans="1:27">
      <c r="A599" s="37"/>
      <c r="B599" s="37"/>
      <c r="C599" s="37"/>
      <c r="D599" s="37"/>
      <c r="E599" s="37"/>
      <c r="F599" s="36"/>
      <c r="G599" s="37"/>
      <c r="H599" s="37"/>
      <c r="I599" s="78"/>
      <c r="J599" s="78"/>
      <c r="K599" s="38"/>
      <c r="L599" s="35"/>
      <c r="M599" s="453"/>
      <c r="N599" s="37"/>
      <c r="O599" s="37"/>
      <c r="P599" s="37"/>
      <c r="Q599" s="37"/>
      <c r="R599" s="37"/>
      <c r="S599" s="37"/>
      <c r="T599" s="37"/>
      <c r="U599" s="37"/>
      <c r="V599" s="37"/>
      <c r="W599" s="37"/>
      <c r="X599" s="37"/>
      <c r="Y599" s="37"/>
      <c r="Z599" s="37"/>
      <c r="AA599" s="37"/>
    </row>
    <row r="600" spans="1:27">
      <c r="A600" s="37"/>
      <c r="B600" s="37"/>
      <c r="C600" s="37"/>
      <c r="D600" s="37"/>
      <c r="E600" s="37"/>
      <c r="F600" s="36"/>
      <c r="G600" s="37"/>
      <c r="H600" s="37"/>
      <c r="I600" s="78"/>
      <c r="J600" s="78"/>
      <c r="K600" s="38"/>
      <c r="L600" s="35"/>
      <c r="M600" s="453"/>
      <c r="N600" s="37"/>
      <c r="O600" s="37"/>
      <c r="P600" s="37"/>
      <c r="Q600" s="37"/>
      <c r="R600" s="37"/>
      <c r="S600" s="37"/>
      <c r="T600" s="37"/>
      <c r="U600" s="37"/>
      <c r="V600" s="37"/>
      <c r="W600" s="37"/>
      <c r="X600" s="37"/>
      <c r="Y600" s="37"/>
      <c r="Z600" s="37"/>
      <c r="AA600" s="37"/>
    </row>
    <row r="601" spans="1:27">
      <c r="A601" s="37"/>
      <c r="B601" s="37"/>
      <c r="C601" s="37"/>
      <c r="D601" s="37"/>
      <c r="E601" s="37"/>
      <c r="F601" s="36"/>
      <c r="G601" s="37"/>
      <c r="H601" s="37"/>
      <c r="I601" s="78"/>
      <c r="J601" s="78"/>
      <c r="K601" s="38"/>
      <c r="L601" s="35"/>
      <c r="M601" s="453"/>
      <c r="N601" s="37"/>
      <c r="O601" s="37"/>
      <c r="P601" s="37"/>
      <c r="Q601" s="37"/>
      <c r="R601" s="37"/>
      <c r="S601" s="37"/>
      <c r="T601" s="37"/>
      <c r="U601" s="37"/>
      <c r="V601" s="37"/>
      <c r="W601" s="37"/>
      <c r="X601" s="37"/>
      <c r="Y601" s="37"/>
      <c r="Z601" s="37"/>
      <c r="AA601" s="37"/>
    </row>
    <row r="602" spans="1:27">
      <c r="A602" s="37"/>
      <c r="B602" s="37"/>
      <c r="C602" s="37"/>
      <c r="D602" s="37"/>
      <c r="E602" s="37"/>
      <c r="F602" s="36"/>
      <c r="G602" s="37"/>
      <c r="H602" s="37"/>
      <c r="I602" s="78"/>
      <c r="J602" s="78"/>
      <c r="K602" s="38"/>
      <c r="L602" s="35"/>
      <c r="M602" s="453"/>
      <c r="N602" s="37"/>
      <c r="O602" s="37"/>
      <c r="P602" s="37"/>
      <c r="Q602" s="37"/>
      <c r="R602" s="37"/>
      <c r="S602" s="37"/>
      <c r="T602" s="37"/>
      <c r="U602" s="37"/>
      <c r="V602" s="37"/>
      <c r="W602" s="37"/>
      <c r="X602" s="37"/>
      <c r="Y602" s="37"/>
      <c r="Z602" s="37"/>
      <c r="AA602" s="37"/>
    </row>
    <row r="603" spans="1:27">
      <c r="A603" s="37"/>
      <c r="B603" s="37"/>
      <c r="C603" s="37"/>
      <c r="D603" s="37"/>
      <c r="E603" s="37"/>
      <c r="F603" s="36"/>
      <c r="G603" s="37"/>
      <c r="H603" s="37"/>
      <c r="I603" s="78"/>
      <c r="J603" s="78"/>
      <c r="K603" s="38"/>
      <c r="L603" s="35"/>
      <c r="M603" s="453"/>
      <c r="N603" s="37"/>
      <c r="O603" s="37"/>
      <c r="P603" s="37"/>
      <c r="Q603" s="37"/>
      <c r="R603" s="37"/>
      <c r="S603" s="37"/>
      <c r="T603" s="37"/>
      <c r="U603" s="37"/>
      <c r="V603" s="37"/>
      <c r="W603" s="37"/>
      <c r="X603" s="37"/>
      <c r="Y603" s="37"/>
      <c r="Z603" s="37"/>
      <c r="AA603" s="37"/>
    </row>
    <row r="604" spans="1:27">
      <c r="A604" s="37"/>
      <c r="B604" s="37"/>
      <c r="C604" s="37"/>
      <c r="D604" s="37"/>
      <c r="E604" s="37"/>
      <c r="F604" s="36"/>
      <c r="G604" s="37"/>
      <c r="H604" s="37"/>
      <c r="I604" s="78"/>
      <c r="J604" s="78"/>
      <c r="K604" s="38"/>
      <c r="L604" s="35"/>
      <c r="M604" s="453"/>
      <c r="N604" s="37"/>
      <c r="O604" s="37"/>
      <c r="P604" s="37"/>
      <c r="Q604" s="37"/>
      <c r="R604" s="37"/>
      <c r="S604" s="37"/>
      <c r="T604" s="37"/>
      <c r="U604" s="37"/>
      <c r="V604" s="37"/>
      <c r="W604" s="37"/>
      <c r="X604" s="37"/>
      <c r="Y604" s="37"/>
      <c r="Z604" s="37"/>
      <c r="AA604" s="37"/>
    </row>
    <row r="605" spans="1:27">
      <c r="A605" s="37"/>
      <c r="B605" s="37"/>
      <c r="C605" s="37"/>
      <c r="D605" s="37"/>
      <c r="E605" s="37"/>
      <c r="F605" s="36"/>
      <c r="G605" s="37"/>
      <c r="H605" s="37"/>
      <c r="I605" s="78"/>
      <c r="J605" s="78"/>
      <c r="K605" s="38"/>
      <c r="L605" s="35"/>
      <c r="M605" s="453"/>
      <c r="N605" s="37"/>
      <c r="O605" s="37"/>
      <c r="P605" s="37"/>
      <c r="Q605" s="37"/>
      <c r="R605" s="37"/>
      <c r="S605" s="37"/>
      <c r="T605" s="37"/>
      <c r="U605" s="37"/>
      <c r="V605" s="37"/>
      <c r="W605" s="37"/>
      <c r="X605" s="37"/>
      <c r="Y605" s="37"/>
      <c r="Z605" s="37"/>
      <c r="AA605" s="37"/>
    </row>
    <row r="606" spans="1:27">
      <c r="A606" s="37"/>
      <c r="B606" s="37"/>
      <c r="C606" s="37"/>
      <c r="D606" s="37"/>
      <c r="E606" s="37"/>
      <c r="F606" s="36"/>
      <c r="G606" s="37"/>
      <c r="H606" s="37"/>
      <c r="I606" s="78"/>
      <c r="J606" s="78"/>
      <c r="K606" s="38"/>
      <c r="L606" s="35"/>
      <c r="M606" s="453"/>
      <c r="N606" s="37"/>
      <c r="O606" s="37"/>
      <c r="P606" s="37"/>
      <c r="Q606" s="37"/>
      <c r="R606" s="37"/>
      <c r="S606" s="37"/>
      <c r="T606" s="37"/>
      <c r="U606" s="37"/>
      <c r="V606" s="37"/>
      <c r="W606" s="37"/>
      <c r="X606" s="37"/>
      <c r="Y606" s="37"/>
      <c r="Z606" s="37"/>
      <c r="AA606" s="37"/>
    </row>
    <row r="607" spans="1:27">
      <c r="A607" s="37"/>
      <c r="B607" s="37"/>
      <c r="C607" s="37"/>
      <c r="D607" s="37"/>
      <c r="E607" s="37"/>
      <c r="F607" s="36"/>
      <c r="G607" s="37"/>
      <c r="H607" s="37"/>
      <c r="I607" s="78"/>
      <c r="J607" s="78"/>
      <c r="K607" s="38"/>
      <c r="L607" s="35"/>
      <c r="M607" s="453"/>
      <c r="N607" s="37"/>
      <c r="O607" s="37"/>
      <c r="P607" s="37"/>
      <c r="Q607" s="37"/>
      <c r="R607" s="37"/>
      <c r="S607" s="37"/>
      <c r="T607" s="37"/>
      <c r="U607" s="37"/>
      <c r="V607" s="37"/>
      <c r="W607" s="37"/>
      <c r="X607" s="37"/>
      <c r="Y607" s="37"/>
      <c r="Z607" s="37"/>
      <c r="AA607" s="37"/>
    </row>
    <row r="608" spans="1:27">
      <c r="A608" s="37"/>
      <c r="B608" s="37"/>
      <c r="C608" s="37"/>
      <c r="D608" s="37"/>
      <c r="E608" s="37"/>
      <c r="F608" s="36"/>
      <c r="G608" s="37"/>
      <c r="H608" s="37"/>
      <c r="I608" s="78"/>
      <c r="J608" s="78"/>
      <c r="K608" s="38"/>
      <c r="L608" s="35"/>
      <c r="M608" s="453"/>
      <c r="N608" s="37"/>
      <c r="O608" s="37"/>
      <c r="P608" s="37"/>
      <c r="Q608" s="37"/>
      <c r="R608" s="37"/>
      <c r="S608" s="37"/>
      <c r="T608" s="37"/>
      <c r="U608" s="37"/>
      <c r="V608" s="37"/>
      <c r="W608" s="37"/>
      <c r="X608" s="37"/>
      <c r="Y608" s="37"/>
      <c r="Z608" s="37"/>
      <c r="AA608" s="37"/>
    </row>
    <row r="609" spans="1:27">
      <c r="A609" s="37"/>
      <c r="B609" s="37"/>
      <c r="C609" s="37"/>
      <c r="D609" s="37"/>
      <c r="E609" s="37"/>
      <c r="F609" s="36"/>
      <c r="G609" s="37"/>
      <c r="H609" s="37"/>
      <c r="I609" s="78"/>
      <c r="J609" s="78"/>
      <c r="K609" s="38"/>
      <c r="L609" s="35"/>
      <c r="M609" s="453"/>
      <c r="N609" s="37"/>
      <c r="O609" s="37"/>
      <c r="P609" s="37"/>
      <c r="Q609" s="37"/>
      <c r="R609" s="37"/>
      <c r="S609" s="37"/>
      <c r="T609" s="37"/>
      <c r="U609" s="37"/>
      <c r="V609" s="37"/>
      <c r="W609" s="37"/>
      <c r="X609" s="37"/>
      <c r="Y609" s="37"/>
      <c r="Z609" s="37"/>
      <c r="AA609" s="37"/>
    </row>
    <row r="610" spans="1:27">
      <c r="A610" s="37"/>
      <c r="B610" s="37"/>
      <c r="C610" s="37"/>
      <c r="D610" s="37"/>
      <c r="E610" s="37"/>
      <c r="F610" s="36"/>
      <c r="G610" s="37"/>
      <c r="H610" s="37"/>
      <c r="I610" s="78"/>
      <c r="J610" s="78"/>
      <c r="K610" s="38"/>
      <c r="L610" s="35"/>
      <c r="M610" s="453"/>
      <c r="N610" s="37"/>
      <c r="O610" s="37"/>
      <c r="P610" s="37"/>
      <c r="Q610" s="37"/>
      <c r="R610" s="37"/>
      <c r="S610" s="37"/>
      <c r="T610" s="37"/>
      <c r="U610" s="37"/>
      <c r="V610" s="37"/>
      <c r="W610" s="37"/>
      <c r="X610" s="37"/>
      <c r="Y610" s="37"/>
      <c r="Z610" s="37"/>
      <c r="AA610" s="37"/>
    </row>
    <row r="611" spans="1:27">
      <c r="A611" s="37"/>
      <c r="B611" s="37"/>
      <c r="C611" s="37"/>
      <c r="D611" s="37"/>
      <c r="E611" s="37"/>
      <c r="F611" s="36"/>
      <c r="G611" s="37"/>
      <c r="H611" s="37"/>
      <c r="I611" s="78"/>
      <c r="J611" s="78"/>
      <c r="K611" s="38"/>
      <c r="L611" s="35"/>
      <c r="M611" s="453"/>
      <c r="N611" s="37"/>
      <c r="O611" s="37"/>
      <c r="P611" s="37"/>
      <c r="Q611" s="37"/>
      <c r="R611" s="37"/>
      <c r="S611" s="37"/>
      <c r="T611" s="37"/>
      <c r="U611" s="37"/>
      <c r="V611" s="37"/>
      <c r="W611" s="37"/>
      <c r="X611" s="37"/>
      <c r="Y611" s="37"/>
      <c r="Z611" s="37"/>
      <c r="AA611" s="37"/>
    </row>
    <row r="612" spans="1:27">
      <c r="A612" s="37"/>
      <c r="B612" s="37"/>
      <c r="C612" s="37"/>
      <c r="D612" s="37"/>
      <c r="E612" s="37"/>
      <c r="F612" s="36"/>
      <c r="G612" s="37"/>
      <c r="H612" s="37"/>
      <c r="I612" s="78"/>
      <c r="J612" s="78"/>
      <c r="K612" s="38"/>
      <c r="L612" s="35"/>
      <c r="M612" s="453"/>
      <c r="N612" s="37"/>
      <c r="O612" s="37"/>
      <c r="P612" s="37"/>
      <c r="Q612" s="37"/>
      <c r="R612" s="37"/>
      <c r="S612" s="37"/>
      <c r="T612" s="37"/>
      <c r="U612" s="37"/>
      <c r="V612" s="37"/>
      <c r="W612" s="37"/>
      <c r="X612" s="37"/>
      <c r="Y612" s="37"/>
      <c r="Z612" s="37"/>
      <c r="AA612" s="37"/>
    </row>
    <row r="613" spans="1:27">
      <c r="A613" s="37"/>
      <c r="B613" s="37"/>
      <c r="C613" s="37"/>
      <c r="D613" s="37"/>
      <c r="E613" s="37"/>
      <c r="F613" s="36"/>
      <c r="G613" s="37"/>
      <c r="H613" s="37"/>
      <c r="I613" s="78"/>
      <c r="J613" s="78"/>
      <c r="K613" s="38"/>
      <c r="L613" s="35"/>
      <c r="M613" s="453"/>
      <c r="N613" s="37"/>
      <c r="O613" s="37"/>
      <c r="P613" s="37"/>
      <c r="Q613" s="37"/>
      <c r="R613" s="37"/>
      <c r="S613" s="37"/>
      <c r="T613" s="37"/>
      <c r="U613" s="37"/>
      <c r="V613" s="37"/>
      <c r="W613" s="37"/>
      <c r="X613" s="37"/>
      <c r="Y613" s="37"/>
      <c r="Z613" s="37"/>
      <c r="AA613" s="37"/>
    </row>
    <row r="614" spans="1:27">
      <c r="A614" s="37"/>
      <c r="B614" s="37"/>
      <c r="C614" s="37"/>
      <c r="D614" s="37"/>
      <c r="E614" s="37"/>
      <c r="F614" s="36"/>
      <c r="G614" s="37"/>
      <c r="H614" s="37"/>
      <c r="I614" s="78"/>
      <c r="J614" s="78"/>
      <c r="K614" s="38"/>
      <c r="L614" s="35"/>
      <c r="M614" s="453"/>
      <c r="N614" s="37"/>
      <c r="O614" s="37"/>
      <c r="P614" s="37"/>
      <c r="Q614" s="37"/>
      <c r="R614" s="37"/>
      <c r="S614" s="37"/>
      <c r="T614" s="37"/>
      <c r="U614" s="37"/>
      <c r="V614" s="37"/>
      <c r="W614" s="37"/>
      <c r="X614" s="37"/>
      <c r="Y614" s="37"/>
      <c r="Z614" s="37"/>
      <c r="AA614" s="37"/>
    </row>
    <row r="615" spans="1:27">
      <c r="A615" s="37"/>
      <c r="B615" s="37"/>
      <c r="C615" s="37"/>
      <c r="D615" s="37"/>
      <c r="E615" s="37"/>
      <c r="F615" s="36"/>
      <c r="G615" s="37"/>
      <c r="H615" s="37"/>
      <c r="I615" s="78"/>
      <c r="J615" s="78"/>
      <c r="K615" s="38"/>
      <c r="L615" s="35"/>
      <c r="M615" s="453"/>
      <c r="N615" s="37"/>
      <c r="O615" s="37"/>
      <c r="P615" s="37"/>
      <c r="Q615" s="37"/>
      <c r="R615" s="37"/>
      <c r="S615" s="37"/>
      <c r="T615" s="37"/>
      <c r="U615" s="37"/>
      <c r="V615" s="37"/>
      <c r="W615" s="37"/>
      <c r="X615" s="37"/>
      <c r="Y615" s="37"/>
      <c r="Z615" s="37"/>
      <c r="AA615" s="37"/>
    </row>
    <row r="616" spans="1:27">
      <c r="A616" s="37"/>
      <c r="B616" s="37"/>
      <c r="C616" s="37"/>
      <c r="D616" s="37"/>
      <c r="E616" s="37"/>
      <c r="F616" s="36"/>
      <c r="G616" s="37"/>
      <c r="H616" s="37"/>
      <c r="I616" s="78"/>
      <c r="J616" s="78"/>
      <c r="K616" s="38"/>
      <c r="L616" s="35"/>
      <c r="M616" s="453"/>
      <c r="N616" s="37"/>
      <c r="O616" s="37"/>
      <c r="P616" s="37"/>
      <c r="Q616" s="37"/>
      <c r="R616" s="37"/>
      <c r="S616" s="37"/>
      <c r="T616" s="37"/>
      <c r="U616" s="37"/>
      <c r="V616" s="37"/>
      <c r="W616" s="37"/>
      <c r="X616" s="37"/>
      <c r="Y616" s="37"/>
      <c r="Z616" s="37"/>
      <c r="AA616" s="37"/>
    </row>
    <row r="617" spans="1:27">
      <c r="A617" s="37"/>
      <c r="B617" s="37"/>
      <c r="C617" s="37"/>
      <c r="D617" s="37"/>
      <c r="E617" s="37"/>
      <c r="F617" s="36"/>
      <c r="G617" s="37"/>
      <c r="H617" s="37"/>
      <c r="I617" s="78"/>
      <c r="J617" s="78"/>
      <c r="K617" s="38"/>
      <c r="L617" s="35"/>
      <c r="M617" s="453"/>
      <c r="N617" s="37"/>
      <c r="O617" s="37"/>
      <c r="P617" s="37"/>
      <c r="Q617" s="37"/>
      <c r="R617" s="37"/>
      <c r="S617" s="37"/>
      <c r="T617" s="37"/>
      <c r="U617" s="37"/>
      <c r="V617" s="37"/>
      <c r="W617" s="37"/>
      <c r="X617" s="37"/>
      <c r="Y617" s="37"/>
      <c r="Z617" s="37"/>
      <c r="AA617" s="37"/>
    </row>
    <row r="618" spans="1:27">
      <c r="A618" s="37"/>
      <c r="B618" s="37"/>
      <c r="C618" s="37"/>
      <c r="D618" s="37"/>
      <c r="E618" s="37"/>
      <c r="F618" s="36"/>
      <c r="G618" s="37"/>
      <c r="H618" s="37"/>
      <c r="I618" s="78"/>
      <c r="J618" s="78"/>
      <c r="K618" s="38"/>
      <c r="L618" s="35"/>
      <c r="M618" s="453"/>
      <c r="N618" s="37"/>
      <c r="O618" s="37"/>
      <c r="P618" s="37"/>
      <c r="Q618" s="37"/>
      <c r="R618" s="37"/>
      <c r="S618" s="37"/>
      <c r="T618" s="37"/>
      <c r="U618" s="37"/>
      <c r="V618" s="37"/>
      <c r="W618" s="37"/>
      <c r="X618" s="37"/>
      <c r="Y618" s="37"/>
      <c r="Z618" s="37"/>
      <c r="AA618" s="37"/>
    </row>
    <row r="619" spans="1:27">
      <c r="A619" s="37"/>
      <c r="B619" s="37"/>
      <c r="C619" s="37"/>
      <c r="D619" s="37"/>
      <c r="E619" s="37"/>
      <c r="F619" s="36"/>
      <c r="G619" s="37"/>
      <c r="H619" s="37"/>
      <c r="I619" s="78"/>
      <c r="J619" s="78"/>
      <c r="K619" s="38"/>
      <c r="L619" s="35"/>
      <c r="M619" s="453"/>
      <c r="N619" s="37"/>
      <c r="O619" s="37"/>
      <c r="P619" s="37"/>
      <c r="Q619" s="37"/>
      <c r="R619" s="37"/>
      <c r="S619" s="37"/>
      <c r="T619" s="37"/>
      <c r="U619" s="37"/>
      <c r="V619" s="37"/>
      <c r="W619" s="37"/>
      <c r="X619" s="37"/>
      <c r="Y619" s="37"/>
      <c r="Z619" s="37"/>
      <c r="AA619" s="37"/>
    </row>
    <row r="620" spans="1:27">
      <c r="A620" s="37"/>
      <c r="B620" s="37"/>
      <c r="C620" s="37"/>
      <c r="D620" s="37"/>
      <c r="E620" s="37"/>
      <c r="F620" s="36"/>
      <c r="G620" s="37"/>
      <c r="H620" s="37"/>
      <c r="I620" s="78"/>
      <c r="J620" s="78"/>
      <c r="K620" s="38"/>
      <c r="L620" s="35"/>
      <c r="M620" s="453"/>
      <c r="N620" s="37"/>
      <c r="O620" s="37"/>
      <c r="P620" s="37"/>
      <c r="Q620" s="37"/>
      <c r="R620" s="37"/>
      <c r="S620" s="37"/>
      <c r="T620" s="37"/>
      <c r="U620" s="37"/>
      <c r="V620" s="37"/>
      <c r="W620" s="37"/>
      <c r="X620" s="37"/>
      <c r="Y620" s="37"/>
      <c r="Z620" s="37"/>
      <c r="AA620" s="37"/>
    </row>
    <row r="621" spans="1:27">
      <c r="A621" s="37"/>
      <c r="B621" s="37"/>
      <c r="C621" s="37"/>
      <c r="D621" s="37"/>
      <c r="E621" s="37"/>
      <c r="F621" s="36"/>
      <c r="G621" s="37"/>
      <c r="H621" s="37"/>
      <c r="I621" s="78"/>
      <c r="J621" s="78"/>
      <c r="K621" s="38"/>
      <c r="L621" s="35"/>
      <c r="M621" s="453"/>
      <c r="N621" s="37"/>
      <c r="O621" s="37"/>
      <c r="P621" s="37"/>
      <c r="Q621" s="37"/>
      <c r="R621" s="37"/>
      <c r="S621" s="37"/>
      <c r="T621" s="37"/>
      <c r="U621" s="37"/>
      <c r="V621" s="37"/>
      <c r="W621" s="37"/>
      <c r="X621" s="37"/>
      <c r="Y621" s="37"/>
      <c r="Z621" s="37"/>
      <c r="AA621" s="37"/>
    </row>
    <row r="622" spans="1:27">
      <c r="A622" s="37"/>
      <c r="B622" s="37"/>
      <c r="C622" s="37"/>
      <c r="D622" s="37"/>
      <c r="E622" s="37"/>
      <c r="F622" s="36"/>
      <c r="G622" s="37"/>
      <c r="H622" s="37"/>
      <c r="I622" s="78"/>
      <c r="J622" s="78"/>
      <c r="K622" s="38"/>
      <c r="L622" s="35"/>
      <c r="M622" s="453"/>
      <c r="N622" s="37"/>
      <c r="O622" s="37"/>
      <c r="P622" s="37"/>
      <c r="Q622" s="37"/>
      <c r="R622" s="37"/>
      <c r="S622" s="37"/>
      <c r="T622" s="37"/>
      <c r="U622" s="37"/>
      <c r="V622" s="37"/>
      <c r="W622" s="37"/>
      <c r="X622" s="37"/>
      <c r="Y622" s="37"/>
      <c r="Z622" s="37"/>
      <c r="AA622" s="37"/>
    </row>
    <row r="623" spans="1:27">
      <c r="A623" s="37"/>
      <c r="B623" s="37"/>
      <c r="C623" s="37"/>
      <c r="D623" s="37"/>
      <c r="E623" s="37"/>
      <c r="F623" s="36"/>
      <c r="G623" s="37"/>
      <c r="H623" s="37"/>
      <c r="I623" s="78"/>
      <c r="J623" s="78"/>
      <c r="K623" s="38"/>
      <c r="L623" s="35"/>
      <c r="M623" s="453"/>
      <c r="N623" s="37"/>
      <c r="O623" s="37"/>
      <c r="P623" s="37"/>
      <c r="Q623" s="37"/>
      <c r="R623" s="37"/>
      <c r="S623" s="37"/>
      <c r="T623" s="37"/>
      <c r="U623" s="37"/>
      <c r="V623" s="37"/>
      <c r="W623" s="37"/>
      <c r="X623" s="37"/>
      <c r="Y623" s="37"/>
      <c r="Z623" s="37"/>
      <c r="AA623" s="37"/>
    </row>
    <row r="624" spans="1:27">
      <c r="A624" s="37"/>
      <c r="B624" s="37"/>
      <c r="C624" s="37"/>
      <c r="D624" s="37"/>
      <c r="E624" s="37"/>
      <c r="F624" s="36"/>
      <c r="G624" s="37"/>
      <c r="H624" s="37"/>
      <c r="I624" s="78"/>
      <c r="J624" s="78"/>
      <c r="K624" s="38"/>
      <c r="L624" s="35"/>
      <c r="M624" s="453"/>
      <c r="N624" s="37"/>
      <c r="O624" s="37"/>
      <c r="P624" s="37"/>
      <c r="Q624" s="37"/>
      <c r="R624" s="37"/>
      <c r="S624" s="37"/>
      <c r="T624" s="37"/>
      <c r="U624" s="37"/>
      <c r="V624" s="37"/>
      <c r="W624" s="37"/>
      <c r="X624" s="37"/>
      <c r="Y624" s="37"/>
      <c r="Z624" s="37"/>
      <c r="AA624" s="37"/>
    </row>
    <row r="625" spans="1:27">
      <c r="A625" s="37"/>
      <c r="B625" s="37"/>
      <c r="C625" s="37"/>
      <c r="D625" s="37"/>
      <c r="E625" s="37"/>
      <c r="F625" s="36"/>
      <c r="G625" s="37"/>
      <c r="H625" s="37"/>
      <c r="I625" s="78"/>
      <c r="J625" s="78"/>
      <c r="K625" s="38"/>
      <c r="L625" s="35"/>
      <c r="M625" s="453"/>
      <c r="N625" s="37"/>
      <c r="O625" s="37"/>
      <c r="P625" s="37"/>
      <c r="Q625" s="37"/>
      <c r="R625" s="37"/>
      <c r="S625" s="37"/>
      <c r="T625" s="37"/>
      <c r="U625" s="37"/>
      <c r="V625" s="37"/>
      <c r="W625" s="37"/>
      <c r="X625" s="37"/>
      <c r="Y625" s="37"/>
      <c r="Z625" s="37"/>
      <c r="AA625" s="37"/>
    </row>
    <row r="626" spans="1:27">
      <c r="A626" s="37"/>
      <c r="B626" s="37"/>
      <c r="C626" s="37"/>
      <c r="D626" s="37"/>
      <c r="E626" s="37"/>
      <c r="F626" s="36"/>
      <c r="G626" s="37"/>
      <c r="H626" s="37"/>
      <c r="I626" s="78"/>
      <c r="J626" s="78"/>
      <c r="K626" s="38"/>
      <c r="L626" s="35"/>
      <c r="M626" s="453"/>
      <c r="N626" s="37"/>
      <c r="O626" s="37"/>
      <c r="P626" s="37"/>
      <c r="Q626" s="37"/>
      <c r="R626" s="37"/>
      <c r="S626" s="37"/>
      <c r="T626" s="37"/>
      <c r="U626" s="37"/>
      <c r="V626" s="37"/>
      <c r="W626" s="37"/>
      <c r="X626" s="37"/>
      <c r="Y626" s="37"/>
      <c r="Z626" s="37"/>
      <c r="AA626" s="37"/>
    </row>
    <row r="627" spans="1:27">
      <c r="A627" s="37"/>
      <c r="B627" s="37"/>
      <c r="C627" s="37"/>
      <c r="D627" s="37"/>
      <c r="E627" s="37"/>
      <c r="F627" s="36"/>
      <c r="G627" s="37"/>
      <c r="H627" s="37"/>
      <c r="I627" s="78"/>
      <c r="J627" s="78"/>
      <c r="K627" s="38"/>
      <c r="L627" s="35"/>
      <c r="M627" s="453"/>
      <c r="N627" s="37"/>
      <c r="O627" s="37"/>
      <c r="P627" s="37"/>
      <c r="Q627" s="37"/>
      <c r="R627" s="37"/>
      <c r="S627" s="37"/>
      <c r="T627" s="37"/>
      <c r="U627" s="37"/>
      <c r="V627" s="37"/>
      <c r="W627" s="37"/>
      <c r="X627" s="37"/>
      <c r="Y627" s="37"/>
      <c r="Z627" s="37"/>
      <c r="AA627" s="37"/>
    </row>
    <row r="628" spans="1:27">
      <c r="A628" s="37"/>
      <c r="B628" s="37"/>
      <c r="C628" s="37"/>
      <c r="D628" s="37"/>
      <c r="E628" s="37"/>
      <c r="F628" s="36"/>
      <c r="G628" s="37"/>
      <c r="H628" s="37"/>
      <c r="I628" s="78"/>
      <c r="J628" s="78"/>
      <c r="K628" s="38"/>
      <c r="L628" s="35"/>
      <c r="M628" s="453"/>
      <c r="N628" s="37"/>
      <c r="O628" s="37"/>
      <c r="P628" s="37"/>
      <c r="Q628" s="37"/>
      <c r="R628" s="37"/>
      <c r="S628" s="37"/>
      <c r="T628" s="37"/>
      <c r="U628" s="37"/>
      <c r="V628" s="37"/>
      <c r="W628" s="37"/>
      <c r="X628" s="37"/>
      <c r="Y628" s="37"/>
      <c r="Z628" s="37"/>
      <c r="AA628" s="37"/>
    </row>
    <row r="629" spans="1:27">
      <c r="A629" s="37"/>
      <c r="B629" s="37"/>
      <c r="C629" s="37"/>
      <c r="D629" s="37"/>
      <c r="E629" s="37"/>
      <c r="F629" s="36"/>
      <c r="G629" s="37"/>
      <c r="H629" s="37"/>
      <c r="I629" s="78"/>
      <c r="J629" s="78"/>
      <c r="K629" s="38"/>
      <c r="L629" s="35"/>
      <c r="M629" s="453"/>
      <c r="N629" s="37"/>
      <c r="O629" s="37"/>
      <c r="P629" s="37"/>
      <c r="Q629" s="37"/>
      <c r="R629" s="37"/>
      <c r="S629" s="37"/>
      <c r="T629" s="37"/>
      <c r="U629" s="37"/>
      <c r="V629" s="37"/>
      <c r="W629" s="37"/>
      <c r="X629" s="37"/>
      <c r="Y629" s="37"/>
      <c r="Z629" s="37"/>
      <c r="AA629" s="37"/>
    </row>
    <row r="630" spans="1:27">
      <c r="A630" s="37"/>
      <c r="B630" s="37"/>
      <c r="C630" s="37"/>
      <c r="D630" s="37"/>
      <c r="E630" s="37"/>
      <c r="F630" s="36"/>
      <c r="G630" s="37"/>
      <c r="H630" s="37"/>
      <c r="I630" s="78"/>
      <c r="J630" s="78"/>
      <c r="K630" s="38"/>
      <c r="L630" s="35"/>
      <c r="M630" s="453"/>
      <c r="N630" s="37"/>
      <c r="O630" s="37"/>
      <c r="P630" s="37"/>
      <c r="Q630" s="37"/>
      <c r="R630" s="37"/>
      <c r="S630" s="37"/>
      <c r="T630" s="37"/>
      <c r="U630" s="37"/>
      <c r="V630" s="37"/>
      <c r="W630" s="37"/>
      <c r="X630" s="37"/>
      <c r="Y630" s="37"/>
      <c r="Z630" s="37"/>
      <c r="AA630" s="37"/>
    </row>
    <row r="631" spans="1:27">
      <c r="A631" s="37"/>
      <c r="B631" s="37"/>
      <c r="C631" s="37"/>
      <c r="D631" s="37"/>
      <c r="E631" s="37"/>
      <c r="F631" s="36"/>
      <c r="G631" s="37"/>
      <c r="H631" s="37"/>
      <c r="I631" s="78"/>
      <c r="J631" s="78"/>
      <c r="K631" s="38"/>
      <c r="L631" s="35"/>
      <c r="M631" s="453"/>
      <c r="N631" s="37"/>
      <c r="O631" s="37"/>
      <c r="P631" s="37"/>
      <c r="Q631" s="37"/>
      <c r="R631" s="37"/>
      <c r="S631" s="37"/>
      <c r="T631" s="37"/>
      <c r="U631" s="37"/>
      <c r="V631" s="37"/>
      <c r="W631" s="37"/>
      <c r="X631" s="37"/>
      <c r="Y631" s="37"/>
      <c r="Z631" s="37"/>
      <c r="AA631" s="37"/>
    </row>
    <row r="632" spans="1:27">
      <c r="A632" s="37"/>
      <c r="B632" s="37"/>
      <c r="C632" s="37"/>
      <c r="D632" s="37"/>
      <c r="E632" s="37"/>
      <c r="F632" s="36"/>
      <c r="G632" s="37"/>
      <c r="H632" s="37"/>
      <c r="I632" s="78"/>
      <c r="J632" s="78"/>
      <c r="K632" s="38"/>
      <c r="L632" s="35"/>
      <c r="M632" s="453"/>
      <c r="N632" s="37"/>
      <c r="O632" s="37"/>
      <c r="P632" s="37"/>
      <c r="Q632" s="37"/>
      <c r="R632" s="37"/>
      <c r="S632" s="37"/>
      <c r="T632" s="37"/>
      <c r="U632" s="37"/>
      <c r="V632" s="37"/>
      <c r="W632" s="37"/>
      <c r="X632" s="37"/>
      <c r="Y632" s="37"/>
      <c r="Z632" s="37"/>
      <c r="AA632" s="37"/>
    </row>
    <row r="633" spans="1:27">
      <c r="A633" s="37"/>
      <c r="B633" s="37"/>
      <c r="C633" s="37"/>
      <c r="D633" s="37"/>
      <c r="E633" s="37"/>
      <c r="F633" s="36"/>
      <c r="G633" s="37"/>
      <c r="H633" s="37"/>
      <c r="I633" s="78"/>
      <c r="J633" s="78"/>
      <c r="K633" s="38"/>
      <c r="L633" s="35"/>
      <c r="M633" s="453"/>
      <c r="N633" s="37"/>
      <c r="O633" s="37"/>
      <c r="P633" s="37"/>
      <c r="Q633" s="37"/>
      <c r="R633" s="37"/>
      <c r="S633" s="37"/>
      <c r="T633" s="37"/>
      <c r="U633" s="37"/>
      <c r="V633" s="37"/>
      <c r="W633" s="37"/>
      <c r="X633" s="37"/>
      <c r="Y633" s="37"/>
      <c r="Z633" s="37"/>
      <c r="AA633" s="37"/>
    </row>
    <row r="634" spans="1:27">
      <c r="A634" s="37"/>
      <c r="B634" s="37"/>
      <c r="C634" s="37"/>
      <c r="D634" s="37"/>
      <c r="E634" s="37"/>
      <c r="F634" s="36"/>
      <c r="G634" s="37"/>
      <c r="H634" s="37"/>
      <c r="I634" s="78"/>
      <c r="J634" s="78"/>
      <c r="K634" s="38"/>
      <c r="L634" s="35"/>
      <c r="M634" s="453"/>
      <c r="N634" s="37"/>
      <c r="O634" s="37"/>
      <c r="P634" s="37"/>
      <c r="Q634" s="37"/>
      <c r="R634" s="37"/>
      <c r="S634" s="37"/>
      <c r="T634" s="37"/>
      <c r="U634" s="37"/>
      <c r="V634" s="37"/>
      <c r="W634" s="37"/>
      <c r="X634" s="37"/>
      <c r="Y634" s="37"/>
      <c r="Z634" s="37"/>
      <c r="AA634" s="37"/>
    </row>
    <row r="635" spans="1:27">
      <c r="A635" s="37"/>
      <c r="B635" s="37"/>
      <c r="C635" s="37"/>
      <c r="D635" s="37"/>
      <c r="E635" s="37"/>
      <c r="F635" s="36"/>
      <c r="G635" s="37"/>
      <c r="H635" s="37"/>
      <c r="I635" s="78"/>
      <c r="J635" s="78"/>
      <c r="K635" s="38"/>
      <c r="L635" s="35"/>
      <c r="M635" s="453"/>
      <c r="N635" s="37"/>
      <c r="O635" s="37"/>
      <c r="P635" s="37"/>
      <c r="Q635" s="37"/>
      <c r="R635" s="37"/>
      <c r="S635" s="37"/>
      <c r="T635" s="37"/>
      <c r="U635" s="37"/>
      <c r="V635" s="37"/>
      <c r="W635" s="37"/>
      <c r="X635" s="37"/>
      <c r="Y635" s="37"/>
      <c r="Z635" s="37"/>
      <c r="AA635" s="37"/>
    </row>
    <row r="636" spans="1:27">
      <c r="A636" s="37"/>
      <c r="B636" s="37"/>
      <c r="C636" s="37"/>
      <c r="D636" s="37"/>
      <c r="E636" s="37"/>
      <c r="F636" s="36"/>
      <c r="G636" s="37"/>
      <c r="H636" s="37"/>
      <c r="I636" s="78"/>
      <c r="J636" s="78"/>
      <c r="K636" s="38"/>
      <c r="L636" s="35"/>
      <c r="M636" s="453"/>
      <c r="N636" s="37"/>
      <c r="O636" s="37"/>
      <c r="P636" s="37"/>
      <c r="Q636" s="37"/>
      <c r="R636" s="37"/>
      <c r="S636" s="37"/>
      <c r="T636" s="37"/>
      <c r="U636" s="37"/>
      <c r="V636" s="37"/>
      <c r="W636" s="37"/>
      <c r="X636" s="37"/>
      <c r="Y636" s="37"/>
      <c r="Z636" s="37"/>
      <c r="AA636" s="37"/>
    </row>
    <row r="637" spans="1:27">
      <c r="A637" s="37"/>
      <c r="B637" s="37"/>
      <c r="C637" s="37"/>
      <c r="D637" s="37"/>
      <c r="E637" s="37"/>
      <c r="F637" s="36"/>
      <c r="G637" s="37"/>
      <c r="H637" s="37"/>
      <c r="I637" s="78"/>
      <c r="J637" s="78"/>
      <c r="K637" s="38"/>
      <c r="L637" s="35"/>
      <c r="M637" s="453"/>
      <c r="N637" s="37"/>
      <c r="O637" s="37"/>
      <c r="P637" s="37"/>
      <c r="Q637" s="37"/>
      <c r="R637" s="37"/>
      <c r="S637" s="37"/>
      <c r="T637" s="37"/>
      <c r="U637" s="37"/>
      <c r="V637" s="37"/>
      <c r="W637" s="37"/>
      <c r="X637" s="37"/>
      <c r="Y637" s="37"/>
      <c r="Z637" s="37"/>
      <c r="AA637" s="37"/>
    </row>
    <row r="638" spans="1:27">
      <c r="A638" s="37"/>
      <c r="B638" s="37"/>
      <c r="C638" s="37"/>
      <c r="D638" s="37"/>
      <c r="E638" s="37"/>
      <c r="F638" s="36"/>
      <c r="G638" s="37"/>
      <c r="H638" s="37"/>
      <c r="I638" s="78"/>
      <c r="J638" s="78"/>
      <c r="K638" s="38"/>
      <c r="L638" s="35"/>
      <c r="M638" s="453"/>
      <c r="N638" s="37"/>
      <c r="O638" s="37"/>
      <c r="P638" s="37"/>
      <c r="Q638" s="37"/>
      <c r="R638" s="37"/>
      <c r="S638" s="37"/>
      <c r="T638" s="37"/>
      <c r="U638" s="37"/>
      <c r="V638" s="37"/>
      <c r="W638" s="37"/>
      <c r="X638" s="37"/>
      <c r="Y638" s="37"/>
      <c r="Z638" s="37"/>
      <c r="AA638" s="37"/>
    </row>
    <row r="639" spans="1:27">
      <c r="A639" s="37"/>
      <c r="B639" s="37"/>
      <c r="C639" s="37"/>
      <c r="D639" s="37"/>
      <c r="E639" s="37"/>
      <c r="F639" s="36"/>
      <c r="G639" s="37"/>
      <c r="H639" s="37"/>
      <c r="I639" s="78"/>
      <c r="J639" s="78"/>
      <c r="K639" s="38"/>
      <c r="L639" s="35"/>
      <c r="M639" s="453"/>
      <c r="N639" s="37"/>
      <c r="O639" s="37"/>
      <c r="P639" s="37"/>
      <c r="Q639" s="37"/>
      <c r="R639" s="37"/>
      <c r="S639" s="37"/>
      <c r="T639" s="37"/>
      <c r="U639" s="37"/>
      <c r="V639" s="37"/>
      <c r="W639" s="37"/>
      <c r="X639" s="37"/>
      <c r="Y639" s="37"/>
      <c r="Z639" s="37"/>
      <c r="AA639" s="37"/>
    </row>
    <row r="640" spans="1:27">
      <c r="A640" s="37"/>
      <c r="B640" s="37"/>
      <c r="C640" s="37"/>
      <c r="D640" s="37"/>
      <c r="E640" s="37"/>
      <c r="F640" s="36"/>
      <c r="G640" s="37"/>
      <c r="H640" s="37"/>
      <c r="I640" s="78"/>
      <c r="J640" s="78"/>
      <c r="K640" s="38"/>
      <c r="L640" s="35"/>
      <c r="M640" s="453"/>
      <c r="N640" s="37"/>
      <c r="O640" s="37"/>
      <c r="P640" s="37"/>
      <c r="Q640" s="37"/>
      <c r="R640" s="37"/>
      <c r="S640" s="37"/>
      <c r="T640" s="37"/>
      <c r="U640" s="37"/>
      <c r="V640" s="37"/>
      <c r="W640" s="37"/>
      <c r="X640" s="37"/>
      <c r="Y640" s="37"/>
      <c r="Z640" s="37"/>
      <c r="AA640" s="37"/>
    </row>
    <row r="641" spans="1:27">
      <c r="A641" s="37"/>
      <c r="B641" s="37"/>
      <c r="C641" s="37"/>
      <c r="D641" s="37"/>
      <c r="E641" s="37"/>
      <c r="F641" s="36"/>
      <c r="G641" s="37"/>
      <c r="H641" s="37"/>
      <c r="I641" s="78"/>
      <c r="J641" s="78"/>
      <c r="K641" s="38"/>
      <c r="L641" s="35"/>
      <c r="M641" s="453"/>
      <c r="N641" s="37"/>
      <c r="O641" s="37"/>
      <c r="P641" s="37"/>
      <c r="Q641" s="37"/>
      <c r="R641" s="37"/>
      <c r="S641" s="37"/>
      <c r="T641" s="37"/>
      <c r="U641" s="37"/>
      <c r="V641" s="37"/>
      <c r="W641" s="37"/>
      <c r="X641" s="37"/>
      <c r="Y641" s="37"/>
      <c r="Z641" s="37"/>
      <c r="AA641" s="37"/>
    </row>
    <row r="642" spans="1:27">
      <c r="A642" s="37"/>
      <c r="B642" s="37"/>
      <c r="C642" s="37"/>
      <c r="D642" s="37"/>
      <c r="E642" s="37"/>
      <c r="F642" s="36"/>
      <c r="G642" s="37"/>
      <c r="H642" s="37"/>
      <c r="I642" s="78"/>
      <c r="J642" s="78"/>
      <c r="K642" s="38"/>
      <c r="L642" s="35"/>
      <c r="M642" s="453"/>
      <c r="N642" s="37"/>
      <c r="O642" s="37"/>
      <c r="P642" s="37"/>
      <c r="Q642" s="37"/>
      <c r="R642" s="37"/>
      <c r="S642" s="37"/>
      <c r="T642" s="37"/>
      <c r="U642" s="37"/>
      <c r="V642" s="37"/>
      <c r="W642" s="37"/>
      <c r="X642" s="37"/>
      <c r="Y642" s="37"/>
      <c r="Z642" s="37"/>
      <c r="AA642" s="37"/>
    </row>
    <row r="643" spans="1:27">
      <c r="A643" s="37"/>
      <c r="B643" s="37"/>
      <c r="C643" s="37"/>
      <c r="D643" s="37"/>
      <c r="E643" s="37"/>
      <c r="F643" s="36"/>
      <c r="G643" s="37"/>
      <c r="H643" s="37"/>
      <c r="I643" s="78"/>
      <c r="J643" s="78"/>
      <c r="K643" s="38"/>
      <c r="L643" s="35"/>
      <c r="M643" s="453"/>
      <c r="N643" s="37"/>
      <c r="O643" s="37"/>
      <c r="P643" s="37"/>
      <c r="Q643" s="37"/>
      <c r="R643" s="37"/>
      <c r="S643" s="37"/>
      <c r="T643" s="37"/>
      <c r="U643" s="37"/>
      <c r="V643" s="37"/>
      <c r="W643" s="37"/>
      <c r="X643" s="37"/>
      <c r="Y643" s="37"/>
      <c r="Z643" s="37"/>
      <c r="AA643" s="37"/>
    </row>
    <row r="644" spans="1:27">
      <c r="A644" s="37"/>
      <c r="B644" s="37"/>
      <c r="C644" s="37"/>
      <c r="D644" s="37"/>
      <c r="E644" s="37"/>
      <c r="F644" s="36"/>
      <c r="G644" s="37"/>
      <c r="H644" s="37"/>
      <c r="I644" s="78"/>
      <c r="J644" s="78"/>
      <c r="K644" s="38"/>
      <c r="L644" s="35"/>
      <c r="M644" s="453"/>
      <c r="N644" s="37"/>
      <c r="O644" s="37"/>
      <c r="P644" s="37"/>
      <c r="Q644" s="37"/>
      <c r="R644" s="37"/>
      <c r="S644" s="37"/>
      <c r="T644" s="37"/>
      <c r="U644" s="37"/>
      <c r="V644" s="37"/>
      <c r="W644" s="37"/>
      <c r="X644" s="37"/>
      <c r="Y644" s="37"/>
      <c r="Z644" s="37"/>
      <c r="AA644" s="37"/>
    </row>
    <row r="645" spans="1:27">
      <c r="A645" s="37"/>
      <c r="B645" s="37"/>
      <c r="C645" s="37"/>
      <c r="D645" s="37"/>
      <c r="E645" s="37"/>
      <c r="F645" s="36"/>
      <c r="G645" s="37"/>
      <c r="H645" s="37"/>
      <c r="I645" s="78"/>
      <c r="J645" s="78"/>
      <c r="K645" s="38"/>
      <c r="L645" s="35"/>
      <c r="M645" s="453"/>
      <c r="N645" s="37"/>
      <c r="O645" s="37"/>
      <c r="P645" s="37"/>
      <c r="Q645" s="37"/>
      <c r="R645" s="37"/>
      <c r="S645" s="37"/>
      <c r="T645" s="37"/>
      <c r="U645" s="37"/>
      <c r="V645" s="37"/>
      <c r="W645" s="37"/>
      <c r="X645" s="37"/>
      <c r="Y645" s="37"/>
      <c r="Z645" s="37"/>
      <c r="AA645" s="37"/>
    </row>
    <row r="646" spans="1:27">
      <c r="A646" s="37"/>
      <c r="B646" s="37"/>
      <c r="C646" s="37"/>
      <c r="D646" s="37"/>
      <c r="E646" s="37"/>
      <c r="F646" s="36"/>
      <c r="G646" s="37"/>
      <c r="H646" s="37"/>
      <c r="I646" s="78"/>
      <c r="J646" s="78"/>
      <c r="K646" s="38"/>
      <c r="L646" s="35"/>
      <c r="M646" s="453"/>
      <c r="N646" s="37"/>
      <c r="O646" s="37"/>
      <c r="P646" s="37"/>
      <c r="Q646" s="37"/>
      <c r="R646" s="37"/>
      <c r="S646" s="37"/>
      <c r="T646" s="37"/>
      <c r="U646" s="37"/>
      <c r="V646" s="37"/>
      <c r="W646" s="37"/>
      <c r="X646" s="37"/>
      <c r="Y646" s="37"/>
      <c r="Z646" s="37"/>
      <c r="AA646" s="37"/>
    </row>
    <row r="647" spans="1:27">
      <c r="A647" s="37"/>
      <c r="B647" s="37"/>
      <c r="C647" s="37"/>
      <c r="D647" s="37"/>
      <c r="E647" s="37"/>
      <c r="F647" s="36"/>
      <c r="G647" s="37"/>
      <c r="H647" s="37"/>
      <c r="I647" s="78"/>
      <c r="J647" s="78"/>
      <c r="K647" s="38"/>
      <c r="L647" s="35"/>
      <c r="M647" s="453"/>
      <c r="N647" s="37"/>
      <c r="O647" s="37"/>
      <c r="P647" s="37"/>
      <c r="Q647" s="37"/>
      <c r="R647" s="37"/>
      <c r="S647" s="37"/>
      <c r="T647" s="37"/>
      <c r="U647" s="37"/>
      <c r="V647" s="37"/>
      <c r="W647" s="37"/>
      <c r="X647" s="37"/>
      <c r="Y647" s="37"/>
      <c r="Z647" s="37"/>
      <c r="AA647" s="37"/>
    </row>
    <row r="648" spans="1:27">
      <c r="A648" s="37"/>
      <c r="B648" s="37"/>
      <c r="C648" s="37"/>
      <c r="D648" s="37"/>
      <c r="E648" s="37"/>
      <c r="F648" s="36"/>
      <c r="G648" s="37"/>
      <c r="H648" s="37"/>
      <c r="I648" s="78"/>
      <c r="J648" s="78"/>
      <c r="K648" s="38"/>
      <c r="L648" s="35"/>
      <c r="M648" s="453"/>
      <c r="N648" s="37"/>
      <c r="O648" s="37"/>
      <c r="P648" s="37"/>
      <c r="Q648" s="37"/>
      <c r="R648" s="37"/>
      <c r="S648" s="37"/>
      <c r="T648" s="37"/>
      <c r="U648" s="37"/>
      <c r="V648" s="37"/>
      <c r="W648" s="37"/>
      <c r="X648" s="37"/>
      <c r="Y648" s="37"/>
      <c r="Z648" s="37"/>
      <c r="AA648" s="37"/>
    </row>
    <row r="649" spans="1:27">
      <c r="A649" s="37"/>
      <c r="B649" s="37"/>
      <c r="C649" s="37"/>
      <c r="D649" s="37"/>
      <c r="E649" s="37"/>
      <c r="F649" s="36"/>
      <c r="G649" s="37"/>
      <c r="H649" s="37"/>
      <c r="I649" s="78"/>
      <c r="J649" s="78"/>
      <c r="K649" s="38"/>
      <c r="L649" s="35"/>
      <c r="M649" s="453"/>
      <c r="N649" s="37"/>
      <c r="O649" s="37"/>
      <c r="P649" s="37"/>
      <c r="Q649" s="37"/>
      <c r="R649" s="37"/>
      <c r="S649" s="37"/>
      <c r="T649" s="37"/>
      <c r="U649" s="37"/>
      <c r="V649" s="37"/>
      <c r="W649" s="37"/>
      <c r="X649" s="37"/>
      <c r="Y649" s="37"/>
      <c r="Z649" s="37"/>
      <c r="AA649" s="37"/>
    </row>
    <row r="650" spans="1:27">
      <c r="A650" s="37"/>
      <c r="B650" s="37"/>
      <c r="C650" s="37"/>
      <c r="D650" s="37"/>
      <c r="E650" s="37"/>
      <c r="F650" s="36"/>
      <c r="G650" s="37"/>
      <c r="H650" s="37"/>
      <c r="I650" s="78"/>
      <c r="J650" s="78"/>
      <c r="K650" s="38"/>
      <c r="L650" s="35"/>
      <c r="M650" s="453"/>
      <c r="N650" s="37"/>
      <c r="O650" s="37"/>
      <c r="P650" s="37"/>
      <c r="Q650" s="37"/>
      <c r="R650" s="37"/>
      <c r="S650" s="37"/>
      <c r="T650" s="37"/>
      <c r="U650" s="37"/>
      <c r="V650" s="37"/>
      <c r="W650" s="37"/>
      <c r="X650" s="37"/>
      <c r="Y650" s="37"/>
      <c r="Z650" s="37"/>
      <c r="AA650" s="37"/>
    </row>
    <row r="651" spans="1:27">
      <c r="A651" s="37"/>
      <c r="B651" s="37"/>
      <c r="C651" s="37"/>
      <c r="D651" s="37"/>
      <c r="E651" s="37"/>
      <c r="F651" s="36"/>
      <c r="G651" s="37"/>
      <c r="H651" s="37"/>
      <c r="I651" s="78"/>
      <c r="J651" s="78"/>
      <c r="K651" s="38"/>
      <c r="L651" s="35"/>
      <c r="M651" s="453"/>
      <c r="N651" s="37"/>
      <c r="O651" s="37"/>
      <c r="P651" s="37"/>
      <c r="Q651" s="37"/>
      <c r="R651" s="37"/>
      <c r="S651" s="37"/>
      <c r="T651" s="37"/>
      <c r="U651" s="37"/>
      <c r="V651" s="37"/>
      <c r="W651" s="37"/>
      <c r="X651" s="37"/>
      <c r="Y651" s="37"/>
      <c r="Z651" s="37"/>
      <c r="AA651" s="37"/>
    </row>
    <row r="652" spans="1:27">
      <c r="A652" s="37"/>
      <c r="B652" s="37"/>
      <c r="C652" s="37"/>
      <c r="D652" s="37"/>
      <c r="E652" s="37"/>
      <c r="F652" s="36"/>
      <c r="G652" s="37"/>
      <c r="H652" s="37"/>
      <c r="I652" s="78"/>
      <c r="J652" s="78"/>
      <c r="K652" s="38"/>
      <c r="L652" s="35"/>
      <c r="M652" s="453"/>
      <c r="N652" s="37"/>
      <c r="O652" s="37"/>
      <c r="P652" s="37"/>
      <c r="Q652" s="37"/>
      <c r="R652" s="37"/>
      <c r="S652" s="37"/>
      <c r="T652" s="37"/>
      <c r="U652" s="37"/>
      <c r="V652" s="37"/>
      <c r="W652" s="37"/>
      <c r="X652" s="37"/>
      <c r="Y652" s="37"/>
      <c r="Z652" s="37"/>
      <c r="AA652" s="37"/>
    </row>
    <row r="653" spans="1:27">
      <c r="A653" s="37"/>
      <c r="B653" s="37"/>
      <c r="C653" s="37"/>
      <c r="D653" s="37"/>
      <c r="E653" s="37"/>
      <c r="F653" s="36"/>
      <c r="G653" s="37"/>
      <c r="H653" s="37"/>
      <c r="I653" s="78"/>
      <c r="J653" s="78"/>
      <c r="K653" s="38"/>
      <c r="L653" s="35"/>
      <c r="M653" s="453"/>
      <c r="N653" s="37"/>
      <c r="O653" s="37"/>
      <c r="P653" s="37"/>
      <c r="Q653" s="37"/>
      <c r="R653" s="37"/>
      <c r="S653" s="37"/>
      <c r="T653" s="37"/>
      <c r="U653" s="37"/>
      <c r="V653" s="37"/>
      <c r="W653" s="37"/>
      <c r="X653" s="37"/>
      <c r="Y653" s="37"/>
      <c r="Z653" s="37"/>
      <c r="AA653" s="37"/>
    </row>
    <row r="654" spans="1:27">
      <c r="A654" s="37"/>
      <c r="B654" s="37"/>
      <c r="C654" s="37"/>
      <c r="D654" s="37"/>
      <c r="E654" s="37"/>
      <c r="F654" s="36"/>
      <c r="G654" s="37"/>
      <c r="H654" s="37"/>
      <c r="I654" s="78"/>
      <c r="J654" s="78"/>
      <c r="K654" s="38"/>
      <c r="L654" s="35"/>
      <c r="M654" s="453"/>
      <c r="N654" s="37"/>
      <c r="O654" s="37"/>
      <c r="P654" s="37"/>
      <c r="Q654" s="37"/>
      <c r="R654" s="37"/>
      <c r="S654" s="37"/>
      <c r="T654" s="37"/>
      <c r="U654" s="37"/>
      <c r="V654" s="37"/>
      <c r="W654" s="37"/>
      <c r="X654" s="37"/>
      <c r="Y654" s="37"/>
      <c r="Z654" s="37"/>
      <c r="AA654" s="37"/>
    </row>
    <row r="655" spans="1:27">
      <c r="A655" s="37"/>
      <c r="B655" s="37"/>
      <c r="C655" s="37"/>
      <c r="D655" s="37"/>
      <c r="E655" s="37"/>
      <c r="F655" s="36"/>
      <c r="G655" s="37"/>
      <c r="H655" s="37"/>
      <c r="I655" s="78"/>
      <c r="J655" s="78"/>
      <c r="K655" s="38"/>
      <c r="L655" s="35"/>
      <c r="M655" s="453"/>
      <c r="N655" s="37"/>
      <c r="O655" s="37"/>
      <c r="P655" s="37"/>
      <c r="Q655" s="37"/>
      <c r="R655" s="37"/>
      <c r="S655" s="37"/>
      <c r="T655" s="37"/>
      <c r="U655" s="37"/>
      <c r="V655" s="37"/>
      <c r="W655" s="37"/>
      <c r="X655" s="37"/>
      <c r="Y655" s="37"/>
      <c r="Z655" s="37"/>
      <c r="AA655" s="37"/>
    </row>
    <row r="656" spans="1:27">
      <c r="A656" s="37"/>
      <c r="B656" s="37"/>
      <c r="C656" s="37"/>
      <c r="D656" s="37"/>
      <c r="E656" s="37"/>
      <c r="F656" s="36"/>
      <c r="G656" s="37"/>
      <c r="H656" s="37"/>
      <c r="I656" s="78"/>
      <c r="J656" s="78"/>
      <c r="K656" s="38"/>
      <c r="L656" s="35"/>
      <c r="M656" s="453"/>
      <c r="N656" s="37"/>
      <c r="O656" s="37"/>
      <c r="P656" s="37"/>
      <c r="Q656" s="37"/>
      <c r="R656" s="37"/>
      <c r="S656" s="37"/>
      <c r="T656" s="37"/>
      <c r="U656" s="37"/>
      <c r="V656" s="37"/>
      <c r="W656" s="37"/>
      <c r="X656" s="37"/>
      <c r="Y656" s="37"/>
      <c r="Z656" s="37"/>
      <c r="AA656" s="37"/>
    </row>
    <row r="657" spans="1:27">
      <c r="A657" s="37"/>
      <c r="B657" s="37"/>
      <c r="C657" s="37"/>
      <c r="D657" s="37"/>
      <c r="E657" s="37"/>
      <c r="F657" s="36"/>
      <c r="G657" s="37"/>
      <c r="H657" s="37"/>
      <c r="I657" s="78"/>
      <c r="J657" s="78"/>
      <c r="K657" s="38"/>
      <c r="L657" s="35"/>
      <c r="M657" s="453"/>
      <c r="N657" s="37"/>
      <c r="O657" s="37"/>
      <c r="P657" s="37"/>
      <c r="Q657" s="37"/>
      <c r="R657" s="37"/>
      <c r="S657" s="37"/>
      <c r="T657" s="37"/>
      <c r="U657" s="37"/>
      <c r="V657" s="37"/>
      <c r="W657" s="37"/>
      <c r="X657" s="37"/>
      <c r="Y657" s="37"/>
      <c r="Z657" s="37"/>
      <c r="AA657" s="37"/>
    </row>
    <row r="658" spans="1:27">
      <c r="A658" s="37"/>
      <c r="B658" s="37"/>
      <c r="C658" s="37"/>
      <c r="D658" s="37"/>
      <c r="E658" s="37"/>
      <c r="F658" s="36"/>
      <c r="G658" s="37"/>
      <c r="H658" s="37"/>
      <c r="I658" s="78"/>
      <c r="J658" s="78"/>
      <c r="K658" s="38"/>
      <c r="L658" s="35"/>
      <c r="M658" s="453"/>
      <c r="N658" s="37"/>
      <c r="O658" s="37"/>
      <c r="P658" s="37"/>
      <c r="Q658" s="37"/>
      <c r="R658" s="37"/>
      <c r="S658" s="37"/>
      <c r="T658" s="37"/>
      <c r="U658" s="37"/>
      <c r="V658" s="37"/>
      <c r="W658" s="37"/>
      <c r="X658" s="37"/>
      <c r="Y658" s="37"/>
      <c r="Z658" s="37"/>
      <c r="AA658" s="37"/>
    </row>
    <row r="659" spans="1:27">
      <c r="A659" s="37"/>
      <c r="B659" s="37"/>
      <c r="C659" s="37"/>
      <c r="D659" s="37"/>
      <c r="E659" s="37"/>
      <c r="F659" s="36"/>
      <c r="G659" s="37"/>
      <c r="H659" s="37"/>
      <c r="I659" s="78"/>
      <c r="J659" s="78"/>
      <c r="K659" s="38"/>
      <c r="L659" s="35"/>
      <c r="M659" s="453"/>
      <c r="N659" s="37"/>
      <c r="O659" s="37"/>
      <c r="P659" s="37"/>
      <c r="Q659" s="37"/>
      <c r="R659" s="37"/>
      <c r="S659" s="37"/>
      <c r="T659" s="37"/>
      <c r="U659" s="37"/>
      <c r="V659" s="37"/>
      <c r="W659" s="37"/>
      <c r="X659" s="37"/>
      <c r="Y659" s="37"/>
      <c r="Z659" s="37"/>
      <c r="AA659" s="37"/>
    </row>
    <row r="660" spans="1:27">
      <c r="A660" s="37"/>
      <c r="B660" s="37"/>
      <c r="C660" s="37"/>
      <c r="D660" s="37"/>
      <c r="E660" s="37"/>
      <c r="F660" s="36"/>
      <c r="G660" s="37"/>
      <c r="H660" s="37"/>
      <c r="I660" s="78"/>
      <c r="J660" s="78"/>
      <c r="K660" s="38"/>
      <c r="L660" s="35"/>
      <c r="M660" s="453"/>
      <c r="N660" s="37"/>
      <c r="O660" s="37"/>
      <c r="P660" s="37"/>
      <c r="Q660" s="37"/>
      <c r="R660" s="37"/>
      <c r="S660" s="37"/>
      <c r="T660" s="37"/>
      <c r="U660" s="37"/>
      <c r="V660" s="37"/>
      <c r="W660" s="37"/>
      <c r="X660" s="37"/>
      <c r="Y660" s="37"/>
      <c r="Z660" s="37"/>
      <c r="AA660" s="37"/>
    </row>
    <row r="661" spans="1:27">
      <c r="A661" s="37"/>
      <c r="B661" s="37"/>
      <c r="C661" s="37"/>
      <c r="D661" s="37"/>
      <c r="E661" s="37"/>
      <c r="F661" s="36"/>
      <c r="G661" s="37"/>
      <c r="H661" s="37"/>
      <c r="I661" s="78"/>
      <c r="J661" s="78"/>
      <c r="K661" s="38"/>
      <c r="L661" s="35"/>
      <c r="M661" s="453"/>
      <c r="N661" s="37"/>
      <c r="O661" s="37"/>
      <c r="P661" s="37"/>
      <c r="Q661" s="37"/>
      <c r="R661" s="37"/>
      <c r="S661" s="37"/>
      <c r="T661" s="37"/>
      <c r="U661" s="37"/>
      <c r="V661" s="37"/>
      <c r="W661" s="37"/>
      <c r="X661" s="37"/>
      <c r="Y661" s="37"/>
      <c r="Z661" s="37"/>
      <c r="AA661" s="37"/>
    </row>
    <row r="662" spans="1:27">
      <c r="A662" s="37"/>
      <c r="B662" s="37"/>
      <c r="C662" s="37"/>
      <c r="D662" s="37"/>
      <c r="E662" s="37"/>
      <c r="F662" s="36"/>
      <c r="G662" s="37"/>
      <c r="H662" s="37"/>
      <c r="I662" s="78"/>
      <c r="J662" s="78"/>
      <c r="K662" s="38"/>
      <c r="L662" s="35"/>
      <c r="M662" s="453"/>
      <c r="N662" s="37"/>
      <c r="O662" s="37"/>
      <c r="P662" s="37"/>
      <c r="Q662" s="37"/>
      <c r="R662" s="37"/>
      <c r="S662" s="37"/>
      <c r="T662" s="37"/>
      <c r="U662" s="37"/>
      <c r="V662" s="37"/>
      <c r="W662" s="37"/>
      <c r="X662" s="37"/>
      <c r="Y662" s="37"/>
      <c r="Z662" s="37"/>
      <c r="AA662" s="37"/>
    </row>
    <row r="663" spans="1:27">
      <c r="A663" s="37"/>
      <c r="B663" s="37"/>
      <c r="C663" s="37"/>
      <c r="D663" s="37"/>
      <c r="E663" s="37"/>
      <c r="F663" s="36"/>
      <c r="G663" s="37"/>
      <c r="H663" s="37"/>
      <c r="I663" s="78"/>
      <c r="J663" s="78"/>
      <c r="K663" s="38"/>
      <c r="L663" s="35"/>
      <c r="M663" s="453"/>
      <c r="N663" s="37"/>
      <c r="O663" s="37"/>
      <c r="P663" s="37"/>
      <c r="Q663" s="37"/>
      <c r="R663" s="37"/>
      <c r="S663" s="37"/>
      <c r="T663" s="37"/>
      <c r="U663" s="37"/>
      <c r="V663" s="37"/>
      <c r="W663" s="37"/>
      <c r="X663" s="37"/>
      <c r="Y663" s="37"/>
      <c r="Z663" s="37"/>
      <c r="AA663" s="37"/>
    </row>
    <row r="664" spans="1:27">
      <c r="A664" s="37"/>
      <c r="B664" s="37"/>
      <c r="C664" s="37"/>
      <c r="D664" s="37"/>
      <c r="E664" s="37"/>
      <c r="F664" s="36"/>
      <c r="G664" s="37"/>
      <c r="H664" s="37"/>
      <c r="I664" s="78"/>
      <c r="J664" s="78"/>
      <c r="K664" s="38"/>
      <c r="L664" s="35"/>
      <c r="M664" s="453"/>
      <c r="N664" s="37"/>
      <c r="O664" s="37"/>
      <c r="P664" s="37"/>
      <c r="Q664" s="37"/>
      <c r="R664" s="37"/>
      <c r="S664" s="37"/>
      <c r="T664" s="37"/>
      <c r="U664" s="37"/>
      <c r="V664" s="37"/>
      <c r="W664" s="37"/>
      <c r="X664" s="37"/>
      <c r="Y664" s="37"/>
      <c r="Z664" s="37"/>
      <c r="AA664" s="37"/>
    </row>
    <row r="665" spans="1:27">
      <c r="A665" s="37"/>
      <c r="B665" s="37"/>
      <c r="C665" s="37"/>
      <c r="D665" s="37"/>
      <c r="E665" s="37"/>
      <c r="F665" s="36"/>
      <c r="G665" s="37"/>
      <c r="H665" s="37"/>
      <c r="I665" s="78"/>
      <c r="J665" s="78"/>
      <c r="K665" s="38"/>
      <c r="L665" s="35"/>
      <c r="M665" s="453"/>
      <c r="N665" s="37"/>
      <c r="O665" s="37"/>
      <c r="P665" s="37"/>
      <c r="Q665" s="37"/>
      <c r="R665" s="37"/>
      <c r="S665" s="37"/>
      <c r="T665" s="37"/>
      <c r="U665" s="37"/>
      <c r="V665" s="37"/>
      <c r="W665" s="37"/>
      <c r="X665" s="37"/>
      <c r="Y665" s="37"/>
      <c r="Z665" s="37"/>
      <c r="AA665" s="37"/>
    </row>
    <row r="666" spans="1:27">
      <c r="A666" s="37"/>
      <c r="B666" s="37"/>
      <c r="C666" s="37"/>
      <c r="D666" s="37"/>
      <c r="E666" s="37"/>
      <c r="F666" s="36"/>
      <c r="G666" s="37"/>
      <c r="H666" s="37"/>
      <c r="I666" s="78"/>
      <c r="J666" s="78"/>
      <c r="K666" s="38"/>
      <c r="L666" s="35"/>
      <c r="M666" s="453"/>
      <c r="N666" s="37"/>
      <c r="O666" s="37"/>
      <c r="P666" s="37"/>
      <c r="Q666" s="37"/>
      <c r="R666" s="37"/>
      <c r="S666" s="37"/>
      <c r="T666" s="37"/>
      <c r="U666" s="37"/>
      <c r="V666" s="37"/>
      <c r="W666" s="37"/>
      <c r="X666" s="37"/>
      <c r="Y666" s="37"/>
      <c r="Z666" s="37"/>
      <c r="AA666" s="37"/>
    </row>
    <row r="667" spans="1:27">
      <c r="A667" s="37"/>
      <c r="B667" s="37"/>
      <c r="C667" s="37"/>
      <c r="D667" s="37"/>
      <c r="E667" s="37"/>
      <c r="F667" s="36"/>
      <c r="G667" s="37"/>
      <c r="H667" s="37"/>
      <c r="I667" s="78"/>
      <c r="J667" s="78"/>
      <c r="K667" s="38"/>
      <c r="L667" s="35"/>
      <c r="M667" s="453"/>
      <c r="N667" s="37"/>
      <c r="O667" s="37"/>
      <c r="P667" s="37"/>
      <c r="Q667" s="37"/>
      <c r="R667" s="37"/>
      <c r="S667" s="37"/>
      <c r="T667" s="37"/>
      <c r="U667" s="37"/>
      <c r="V667" s="37"/>
      <c r="W667" s="37"/>
      <c r="X667" s="37"/>
      <c r="Y667" s="37"/>
      <c r="Z667" s="37"/>
      <c r="AA667" s="37"/>
    </row>
    <row r="668" spans="1:27">
      <c r="A668" s="37"/>
      <c r="B668" s="37"/>
      <c r="C668" s="37"/>
      <c r="D668" s="37"/>
      <c r="E668" s="37"/>
      <c r="F668" s="36"/>
      <c r="G668" s="37"/>
      <c r="H668" s="37"/>
      <c r="I668" s="78"/>
      <c r="J668" s="78"/>
      <c r="K668" s="38"/>
      <c r="L668" s="35"/>
      <c r="M668" s="453"/>
      <c r="N668" s="37"/>
      <c r="O668" s="37"/>
      <c r="P668" s="37"/>
      <c r="Q668" s="37"/>
      <c r="R668" s="37"/>
      <c r="S668" s="37"/>
      <c r="T668" s="37"/>
      <c r="U668" s="37"/>
      <c r="V668" s="37"/>
      <c r="W668" s="37"/>
      <c r="X668" s="37"/>
      <c r="Y668" s="37"/>
      <c r="Z668" s="37"/>
      <c r="AA668" s="37"/>
    </row>
    <row r="669" spans="1:27">
      <c r="A669" s="37"/>
      <c r="B669" s="37"/>
      <c r="C669" s="37"/>
      <c r="D669" s="37"/>
      <c r="E669" s="37"/>
      <c r="F669" s="36"/>
      <c r="G669" s="37"/>
      <c r="H669" s="37"/>
      <c r="I669" s="78"/>
      <c r="J669" s="78"/>
      <c r="K669" s="38"/>
      <c r="L669" s="35"/>
      <c r="M669" s="453"/>
      <c r="N669" s="37"/>
      <c r="O669" s="37"/>
      <c r="P669" s="37"/>
      <c r="Q669" s="37"/>
      <c r="R669" s="37"/>
      <c r="S669" s="37"/>
      <c r="T669" s="37"/>
      <c r="U669" s="37"/>
      <c r="V669" s="37"/>
      <c r="W669" s="37"/>
      <c r="X669" s="37"/>
      <c r="Y669" s="37"/>
      <c r="Z669" s="37"/>
      <c r="AA669" s="37"/>
    </row>
    <row r="670" spans="1:27">
      <c r="A670" s="37"/>
      <c r="B670" s="37"/>
      <c r="C670" s="37"/>
      <c r="D670" s="37"/>
      <c r="E670" s="37"/>
      <c r="F670" s="36"/>
      <c r="G670" s="37"/>
      <c r="H670" s="37"/>
      <c r="I670" s="78"/>
      <c r="J670" s="78"/>
      <c r="K670" s="38"/>
      <c r="L670" s="35"/>
      <c r="M670" s="453"/>
      <c r="N670" s="37"/>
      <c r="O670" s="37"/>
      <c r="P670" s="37"/>
      <c r="Q670" s="37"/>
      <c r="R670" s="37"/>
      <c r="S670" s="37"/>
      <c r="T670" s="37"/>
      <c r="U670" s="37"/>
      <c r="V670" s="37"/>
      <c r="W670" s="37"/>
      <c r="X670" s="37"/>
      <c r="Y670" s="37"/>
      <c r="Z670" s="37"/>
      <c r="AA670" s="37"/>
    </row>
    <row r="671" spans="1:27">
      <c r="A671" s="37"/>
      <c r="B671" s="37"/>
      <c r="C671" s="37"/>
      <c r="D671" s="37"/>
      <c r="E671" s="37"/>
      <c r="F671" s="36"/>
      <c r="G671" s="37"/>
      <c r="H671" s="37"/>
      <c r="I671" s="78"/>
      <c r="J671" s="78"/>
      <c r="K671" s="38"/>
      <c r="L671" s="35"/>
      <c r="M671" s="453"/>
      <c r="N671" s="37"/>
      <c r="O671" s="37"/>
      <c r="P671" s="37"/>
      <c r="Q671" s="37"/>
      <c r="R671" s="37"/>
      <c r="S671" s="37"/>
      <c r="T671" s="37"/>
      <c r="U671" s="37"/>
      <c r="V671" s="37"/>
      <c r="W671" s="37"/>
      <c r="X671" s="37"/>
      <c r="Y671" s="37"/>
      <c r="Z671" s="37"/>
      <c r="AA671" s="37"/>
    </row>
    <row r="672" spans="1:27">
      <c r="A672" s="37"/>
      <c r="B672" s="37"/>
      <c r="C672" s="37"/>
      <c r="D672" s="37"/>
      <c r="E672" s="37"/>
      <c r="F672" s="36"/>
      <c r="G672" s="37"/>
      <c r="H672" s="37"/>
      <c r="I672" s="78"/>
      <c r="J672" s="78"/>
      <c r="K672" s="38"/>
      <c r="L672" s="35"/>
      <c r="M672" s="453"/>
      <c r="N672" s="37"/>
      <c r="O672" s="37"/>
      <c r="P672" s="37"/>
      <c r="Q672" s="37"/>
      <c r="R672" s="37"/>
      <c r="S672" s="37"/>
      <c r="T672" s="37"/>
      <c r="U672" s="37"/>
      <c r="V672" s="37"/>
      <c r="W672" s="37"/>
      <c r="X672" s="37"/>
      <c r="Y672" s="37"/>
      <c r="Z672" s="37"/>
      <c r="AA672" s="37"/>
    </row>
    <row r="673" spans="1:27">
      <c r="A673" s="37"/>
      <c r="B673" s="37"/>
      <c r="C673" s="37"/>
      <c r="D673" s="37"/>
      <c r="E673" s="37"/>
      <c r="F673" s="36"/>
      <c r="G673" s="37"/>
      <c r="H673" s="37"/>
      <c r="I673" s="78"/>
      <c r="J673" s="78"/>
      <c r="K673" s="38"/>
      <c r="L673" s="35"/>
      <c r="M673" s="453"/>
      <c r="N673" s="37"/>
      <c r="O673" s="37"/>
      <c r="P673" s="37"/>
      <c r="Q673" s="37"/>
      <c r="R673" s="37"/>
      <c r="S673" s="37"/>
      <c r="T673" s="37"/>
      <c r="U673" s="37"/>
      <c r="V673" s="37"/>
      <c r="W673" s="37"/>
      <c r="X673" s="37"/>
      <c r="Y673" s="37"/>
      <c r="Z673" s="37"/>
      <c r="AA673" s="37"/>
    </row>
    <row r="674" spans="1:27">
      <c r="A674" s="37"/>
      <c r="B674" s="37"/>
      <c r="C674" s="37"/>
      <c r="D674" s="37"/>
      <c r="E674" s="37"/>
      <c r="F674" s="36"/>
      <c r="G674" s="37"/>
      <c r="H674" s="37"/>
      <c r="I674" s="78"/>
      <c r="J674" s="78"/>
      <c r="K674" s="38"/>
      <c r="L674" s="35"/>
      <c r="M674" s="453"/>
      <c r="N674" s="37"/>
      <c r="O674" s="37"/>
      <c r="P674" s="37"/>
      <c r="Q674" s="37"/>
      <c r="R674" s="37"/>
      <c r="S674" s="37"/>
      <c r="T674" s="37"/>
      <c r="U674" s="37"/>
      <c r="V674" s="37"/>
      <c r="W674" s="37"/>
      <c r="X674" s="37"/>
      <c r="Y674" s="37"/>
      <c r="Z674" s="37"/>
      <c r="AA674" s="37"/>
    </row>
    <row r="675" spans="1:27">
      <c r="A675" s="37"/>
      <c r="B675" s="37"/>
      <c r="C675" s="37"/>
      <c r="D675" s="37"/>
      <c r="E675" s="37"/>
      <c r="F675" s="36"/>
      <c r="G675" s="37"/>
      <c r="H675" s="37"/>
      <c r="I675" s="78"/>
      <c r="J675" s="78"/>
      <c r="K675" s="38"/>
      <c r="L675" s="35"/>
      <c r="M675" s="453"/>
      <c r="N675" s="37"/>
      <c r="O675" s="37"/>
      <c r="P675" s="37"/>
      <c r="Q675" s="37"/>
      <c r="R675" s="37"/>
      <c r="S675" s="37"/>
      <c r="T675" s="37"/>
      <c r="U675" s="37"/>
      <c r="V675" s="37"/>
      <c r="W675" s="37"/>
      <c r="X675" s="37"/>
      <c r="Y675" s="37"/>
      <c r="Z675" s="37"/>
      <c r="AA675" s="37"/>
    </row>
    <row r="676" spans="1:27">
      <c r="A676" s="37"/>
      <c r="B676" s="37"/>
      <c r="C676" s="37"/>
      <c r="D676" s="37"/>
      <c r="E676" s="37"/>
      <c r="F676" s="36"/>
      <c r="G676" s="37"/>
      <c r="H676" s="37"/>
      <c r="I676" s="78"/>
      <c r="J676" s="78"/>
      <c r="K676" s="38"/>
      <c r="L676" s="35"/>
      <c r="M676" s="453"/>
      <c r="N676" s="37"/>
      <c r="O676" s="37"/>
      <c r="P676" s="37"/>
      <c r="Q676" s="37"/>
      <c r="R676" s="37"/>
      <c r="S676" s="37"/>
      <c r="T676" s="37"/>
      <c r="U676" s="37"/>
      <c r="V676" s="37"/>
      <c r="W676" s="37"/>
      <c r="X676" s="37"/>
      <c r="Y676" s="37"/>
      <c r="Z676" s="37"/>
      <c r="AA676" s="37"/>
    </row>
    <row r="677" spans="1:27">
      <c r="A677" s="37"/>
      <c r="B677" s="37"/>
      <c r="C677" s="37"/>
      <c r="D677" s="37"/>
      <c r="E677" s="37"/>
      <c r="F677" s="36"/>
      <c r="G677" s="37"/>
      <c r="H677" s="37"/>
      <c r="I677" s="78"/>
      <c r="J677" s="78"/>
      <c r="K677" s="38"/>
      <c r="L677" s="35"/>
      <c r="M677" s="453"/>
      <c r="N677" s="37"/>
      <c r="O677" s="37"/>
      <c r="P677" s="37"/>
      <c r="Q677" s="37"/>
      <c r="R677" s="37"/>
      <c r="S677" s="37"/>
      <c r="T677" s="37"/>
      <c r="U677" s="37"/>
      <c r="V677" s="37"/>
      <c r="W677" s="37"/>
      <c r="X677" s="37"/>
      <c r="Y677" s="37"/>
      <c r="Z677" s="37"/>
      <c r="AA677" s="37"/>
    </row>
    <row r="678" spans="1:27">
      <c r="A678" s="37"/>
      <c r="B678" s="37"/>
      <c r="C678" s="37"/>
      <c r="D678" s="37"/>
      <c r="E678" s="37"/>
      <c r="F678" s="36"/>
      <c r="G678" s="37"/>
      <c r="H678" s="37"/>
      <c r="I678" s="78"/>
      <c r="J678" s="78"/>
      <c r="K678" s="38"/>
      <c r="L678" s="35"/>
      <c r="M678" s="453"/>
      <c r="N678" s="37"/>
      <c r="O678" s="37"/>
      <c r="P678" s="37"/>
      <c r="Q678" s="37"/>
      <c r="R678" s="37"/>
      <c r="S678" s="37"/>
      <c r="T678" s="37"/>
      <c r="U678" s="37"/>
      <c r="V678" s="37"/>
      <c r="W678" s="37"/>
      <c r="X678" s="37"/>
      <c r="Y678" s="37"/>
      <c r="Z678" s="37"/>
      <c r="AA678" s="37"/>
    </row>
    <row r="679" spans="1:27">
      <c r="A679" s="37"/>
      <c r="B679" s="37"/>
      <c r="C679" s="37"/>
      <c r="D679" s="37"/>
      <c r="E679" s="37"/>
      <c r="F679" s="36"/>
      <c r="G679" s="37"/>
      <c r="H679" s="37"/>
      <c r="I679" s="78"/>
      <c r="J679" s="78"/>
      <c r="K679" s="38"/>
      <c r="L679" s="35"/>
      <c r="M679" s="453"/>
      <c r="N679" s="37"/>
      <c r="O679" s="37"/>
      <c r="P679" s="37"/>
      <c r="Q679" s="37"/>
      <c r="R679" s="37"/>
      <c r="S679" s="37"/>
      <c r="T679" s="37"/>
      <c r="U679" s="37"/>
      <c r="V679" s="37"/>
      <c r="W679" s="37"/>
      <c r="X679" s="37"/>
      <c r="Y679" s="37"/>
      <c r="Z679" s="37"/>
      <c r="AA679" s="37"/>
    </row>
    <row r="680" spans="1:27">
      <c r="A680" s="37"/>
      <c r="B680" s="37"/>
      <c r="C680" s="37"/>
      <c r="D680" s="37"/>
      <c r="E680" s="37"/>
      <c r="F680" s="36"/>
      <c r="G680" s="37"/>
      <c r="H680" s="37"/>
      <c r="I680" s="78"/>
      <c r="J680" s="78"/>
      <c r="K680" s="38"/>
      <c r="L680" s="35"/>
      <c r="M680" s="453"/>
      <c r="N680" s="37"/>
      <c r="O680" s="37"/>
      <c r="P680" s="37"/>
      <c r="Q680" s="37"/>
      <c r="R680" s="37"/>
      <c r="S680" s="37"/>
      <c r="T680" s="37"/>
      <c r="U680" s="37"/>
      <c r="V680" s="37"/>
      <c r="W680" s="37"/>
      <c r="X680" s="37"/>
      <c r="Y680" s="37"/>
      <c r="Z680" s="37"/>
      <c r="AA680" s="37"/>
    </row>
    <row r="681" spans="1:27">
      <c r="A681" s="37"/>
      <c r="B681" s="37"/>
      <c r="C681" s="37"/>
      <c r="D681" s="37"/>
      <c r="E681" s="37"/>
      <c r="F681" s="36"/>
      <c r="G681" s="37"/>
      <c r="H681" s="37"/>
      <c r="I681" s="78"/>
      <c r="J681" s="78"/>
      <c r="K681" s="38"/>
      <c r="L681" s="35"/>
      <c r="M681" s="453"/>
      <c r="N681" s="37"/>
      <c r="O681" s="37"/>
      <c r="P681" s="37"/>
      <c r="Q681" s="37"/>
      <c r="R681" s="37"/>
      <c r="S681" s="37"/>
      <c r="T681" s="37"/>
      <c r="U681" s="37"/>
      <c r="V681" s="37"/>
      <c r="W681" s="37"/>
      <c r="X681" s="37"/>
      <c r="Y681" s="37"/>
      <c r="Z681" s="37"/>
      <c r="AA681" s="37"/>
    </row>
    <row r="682" spans="1:27">
      <c r="A682" s="37"/>
      <c r="B682" s="37"/>
      <c r="C682" s="37"/>
      <c r="D682" s="37"/>
      <c r="E682" s="37"/>
      <c r="F682" s="36"/>
      <c r="G682" s="37"/>
      <c r="H682" s="37"/>
      <c r="I682" s="78"/>
      <c r="J682" s="78"/>
      <c r="K682" s="38"/>
      <c r="L682" s="35"/>
      <c r="M682" s="453"/>
      <c r="N682" s="37"/>
      <c r="O682" s="37"/>
      <c r="P682" s="37"/>
      <c r="Q682" s="37"/>
      <c r="R682" s="37"/>
      <c r="S682" s="37"/>
      <c r="T682" s="37"/>
      <c r="U682" s="37"/>
      <c r="V682" s="37"/>
      <c r="W682" s="37"/>
      <c r="X682" s="37"/>
      <c r="Y682" s="37"/>
      <c r="Z682" s="37"/>
      <c r="AA682" s="37"/>
    </row>
    <row r="683" spans="1:27">
      <c r="A683" s="37"/>
      <c r="B683" s="37"/>
      <c r="C683" s="37"/>
      <c r="D683" s="37"/>
      <c r="E683" s="37"/>
      <c r="F683" s="36"/>
      <c r="G683" s="37"/>
      <c r="H683" s="37"/>
      <c r="I683" s="78"/>
      <c r="J683" s="78"/>
      <c r="K683" s="38"/>
      <c r="L683" s="35"/>
      <c r="M683" s="453"/>
      <c r="N683" s="37"/>
      <c r="O683" s="37"/>
      <c r="P683" s="37"/>
      <c r="Q683" s="37"/>
      <c r="R683" s="37"/>
      <c r="S683" s="37"/>
      <c r="T683" s="37"/>
      <c r="U683" s="37"/>
      <c r="V683" s="37"/>
      <c r="W683" s="37"/>
      <c r="X683" s="37"/>
      <c r="Y683" s="37"/>
      <c r="Z683" s="37"/>
      <c r="AA683" s="37"/>
    </row>
    <row r="684" spans="1:27">
      <c r="A684" s="37"/>
      <c r="B684" s="37"/>
      <c r="C684" s="37"/>
      <c r="D684" s="37"/>
      <c r="E684" s="37"/>
      <c r="F684" s="36"/>
      <c r="G684" s="37"/>
      <c r="H684" s="37"/>
      <c r="I684" s="78"/>
      <c r="J684" s="78"/>
      <c r="K684" s="38"/>
      <c r="L684" s="35"/>
      <c r="M684" s="453"/>
      <c r="N684" s="37"/>
      <c r="O684" s="37"/>
      <c r="P684" s="37"/>
      <c r="Q684" s="37"/>
      <c r="R684" s="37"/>
      <c r="S684" s="37"/>
      <c r="T684" s="37"/>
      <c r="U684" s="37"/>
      <c r="V684" s="37"/>
      <c r="W684" s="37"/>
      <c r="X684" s="37"/>
      <c r="Y684" s="37"/>
      <c r="Z684" s="37"/>
      <c r="AA684" s="37"/>
    </row>
    <row r="685" spans="1:27">
      <c r="A685" s="37"/>
      <c r="B685" s="37"/>
      <c r="C685" s="37"/>
      <c r="D685" s="37"/>
      <c r="E685" s="37"/>
      <c r="F685" s="36"/>
      <c r="G685" s="37"/>
      <c r="H685" s="37"/>
      <c r="I685" s="78"/>
      <c r="J685" s="78"/>
      <c r="K685" s="38"/>
      <c r="L685" s="35"/>
      <c r="M685" s="453"/>
      <c r="N685" s="37"/>
      <c r="O685" s="37"/>
      <c r="P685" s="37"/>
      <c r="Q685" s="37"/>
      <c r="R685" s="37"/>
      <c r="S685" s="37"/>
      <c r="T685" s="37"/>
      <c r="U685" s="37"/>
      <c r="V685" s="37"/>
      <c r="W685" s="37"/>
      <c r="X685" s="37"/>
      <c r="Y685" s="37"/>
      <c r="Z685" s="37"/>
      <c r="AA685" s="37"/>
    </row>
    <row r="686" spans="1:27">
      <c r="A686" s="37"/>
      <c r="B686" s="37"/>
      <c r="C686" s="37"/>
      <c r="D686" s="37"/>
      <c r="E686" s="37"/>
      <c r="F686" s="36"/>
      <c r="G686" s="37"/>
      <c r="H686" s="37"/>
      <c r="I686" s="78"/>
      <c r="J686" s="78"/>
      <c r="K686" s="38"/>
      <c r="L686" s="35"/>
      <c r="M686" s="453"/>
      <c r="N686" s="37"/>
      <c r="O686" s="37"/>
      <c r="P686" s="37"/>
      <c r="Q686" s="37"/>
      <c r="R686" s="37"/>
      <c r="S686" s="37"/>
      <c r="T686" s="37"/>
      <c r="U686" s="37"/>
      <c r="V686" s="37"/>
      <c r="W686" s="37"/>
      <c r="X686" s="37"/>
      <c r="Y686" s="37"/>
      <c r="Z686" s="37"/>
      <c r="AA686" s="37"/>
    </row>
    <row r="687" spans="1:27">
      <c r="A687" s="37"/>
      <c r="B687" s="37"/>
      <c r="C687" s="37"/>
      <c r="D687" s="37"/>
      <c r="E687" s="37"/>
      <c r="F687" s="36"/>
      <c r="G687" s="37"/>
      <c r="H687" s="37"/>
      <c r="I687" s="78"/>
      <c r="J687" s="78"/>
      <c r="K687" s="38"/>
      <c r="L687" s="35"/>
      <c r="M687" s="453"/>
      <c r="N687" s="37"/>
      <c r="O687" s="37"/>
      <c r="P687" s="37"/>
      <c r="Q687" s="37"/>
      <c r="R687" s="37"/>
      <c r="S687" s="37"/>
      <c r="T687" s="37"/>
      <c r="U687" s="37"/>
      <c r="V687" s="37"/>
      <c r="W687" s="37"/>
      <c r="X687" s="37"/>
      <c r="Y687" s="37"/>
      <c r="Z687" s="37"/>
      <c r="AA687" s="37"/>
    </row>
    <row r="688" spans="1:27">
      <c r="A688" s="37"/>
      <c r="B688" s="37"/>
      <c r="C688" s="37"/>
      <c r="D688" s="37"/>
      <c r="E688" s="37"/>
      <c r="F688" s="36"/>
      <c r="G688" s="37"/>
      <c r="H688" s="37"/>
      <c r="I688" s="78"/>
      <c r="J688" s="78"/>
      <c r="K688" s="38"/>
      <c r="L688" s="35"/>
      <c r="M688" s="453"/>
      <c r="N688" s="37"/>
      <c r="O688" s="37"/>
      <c r="P688" s="37"/>
      <c r="Q688" s="37"/>
      <c r="R688" s="37"/>
      <c r="S688" s="37"/>
      <c r="T688" s="37"/>
      <c r="U688" s="37"/>
      <c r="V688" s="37"/>
      <c r="W688" s="37"/>
      <c r="X688" s="37"/>
      <c r="Y688" s="37"/>
      <c r="Z688" s="37"/>
      <c r="AA688" s="37"/>
    </row>
    <row r="689" spans="1:27">
      <c r="A689" s="37"/>
      <c r="B689" s="37"/>
      <c r="C689" s="37"/>
      <c r="D689" s="37"/>
      <c r="E689" s="37"/>
      <c r="F689" s="36"/>
      <c r="G689" s="37"/>
      <c r="H689" s="37"/>
      <c r="I689" s="78"/>
      <c r="J689" s="78"/>
      <c r="K689" s="38"/>
      <c r="L689" s="35"/>
      <c r="M689" s="453"/>
      <c r="N689" s="37"/>
      <c r="O689" s="37"/>
      <c r="P689" s="37"/>
      <c r="Q689" s="37"/>
      <c r="R689" s="37"/>
      <c r="S689" s="37"/>
      <c r="T689" s="37"/>
      <c r="U689" s="37"/>
      <c r="V689" s="37"/>
      <c r="W689" s="37"/>
      <c r="X689" s="37"/>
      <c r="Y689" s="37"/>
      <c r="Z689" s="37"/>
      <c r="AA689" s="37"/>
    </row>
    <row r="690" spans="1:27">
      <c r="A690" s="37"/>
      <c r="B690" s="37"/>
      <c r="C690" s="37"/>
      <c r="D690" s="37"/>
      <c r="E690" s="37"/>
      <c r="F690" s="36"/>
      <c r="G690" s="37"/>
      <c r="H690" s="37"/>
      <c r="I690" s="78"/>
      <c r="J690" s="78"/>
      <c r="K690" s="38"/>
      <c r="L690" s="35"/>
      <c r="M690" s="453"/>
      <c r="N690" s="37"/>
      <c r="O690" s="37"/>
      <c r="P690" s="37"/>
      <c r="Q690" s="37"/>
      <c r="R690" s="37"/>
      <c r="S690" s="37"/>
      <c r="T690" s="37"/>
      <c r="U690" s="37"/>
      <c r="V690" s="37"/>
      <c r="W690" s="37"/>
      <c r="X690" s="37"/>
      <c r="Y690" s="37"/>
      <c r="Z690" s="37"/>
      <c r="AA690" s="37"/>
    </row>
    <row r="691" spans="1:27">
      <c r="A691" s="37"/>
      <c r="B691" s="37"/>
      <c r="C691" s="37"/>
      <c r="D691" s="37"/>
      <c r="E691" s="37"/>
      <c r="F691" s="36"/>
      <c r="G691" s="37"/>
      <c r="H691" s="37"/>
      <c r="I691" s="78"/>
      <c r="J691" s="78"/>
      <c r="K691" s="38"/>
      <c r="L691" s="35"/>
      <c r="M691" s="453"/>
      <c r="N691" s="37"/>
      <c r="O691" s="37"/>
      <c r="P691" s="37"/>
      <c r="Q691" s="37"/>
      <c r="R691" s="37"/>
      <c r="S691" s="37"/>
      <c r="T691" s="37"/>
      <c r="U691" s="37"/>
      <c r="V691" s="37"/>
      <c r="W691" s="37"/>
      <c r="X691" s="37"/>
      <c r="Y691" s="37"/>
      <c r="Z691" s="37"/>
      <c r="AA691" s="37"/>
    </row>
    <row r="692" spans="1:27">
      <c r="A692" s="37"/>
      <c r="B692" s="37"/>
      <c r="C692" s="37"/>
      <c r="D692" s="37"/>
      <c r="E692" s="37"/>
      <c r="F692" s="36"/>
      <c r="G692" s="37"/>
      <c r="H692" s="37"/>
      <c r="I692" s="78"/>
      <c r="J692" s="78"/>
      <c r="K692" s="38"/>
      <c r="L692" s="35"/>
      <c r="M692" s="453"/>
      <c r="N692" s="37"/>
      <c r="O692" s="37"/>
      <c r="P692" s="37"/>
      <c r="Q692" s="37"/>
      <c r="R692" s="37"/>
      <c r="S692" s="37"/>
      <c r="T692" s="37"/>
      <c r="U692" s="37"/>
      <c r="V692" s="37"/>
      <c r="W692" s="37"/>
      <c r="X692" s="37"/>
      <c r="Y692" s="37"/>
      <c r="Z692" s="37"/>
      <c r="AA692" s="37"/>
    </row>
    <row r="693" spans="1:27">
      <c r="A693" s="37"/>
      <c r="B693" s="37"/>
      <c r="C693" s="37"/>
      <c r="D693" s="37"/>
      <c r="E693" s="37"/>
      <c r="F693" s="36"/>
      <c r="G693" s="37"/>
      <c r="H693" s="37"/>
      <c r="I693" s="78"/>
      <c r="J693" s="78"/>
      <c r="K693" s="38"/>
      <c r="L693" s="35"/>
      <c r="M693" s="453"/>
      <c r="N693" s="37"/>
      <c r="O693" s="37"/>
      <c r="P693" s="37"/>
      <c r="Q693" s="37"/>
      <c r="R693" s="37"/>
      <c r="S693" s="37"/>
      <c r="T693" s="37"/>
      <c r="U693" s="37"/>
      <c r="V693" s="37"/>
      <c r="W693" s="37"/>
      <c r="X693" s="37"/>
      <c r="Y693" s="37"/>
      <c r="Z693" s="37"/>
      <c r="AA693" s="37"/>
    </row>
    <row r="694" spans="1:27">
      <c r="A694" s="37"/>
      <c r="B694" s="37"/>
      <c r="C694" s="37"/>
      <c r="D694" s="37"/>
      <c r="E694" s="37"/>
      <c r="F694" s="36"/>
      <c r="G694" s="37"/>
      <c r="H694" s="37"/>
      <c r="I694" s="78"/>
      <c r="J694" s="78"/>
      <c r="K694" s="38"/>
      <c r="L694" s="35"/>
      <c r="M694" s="453"/>
      <c r="N694" s="37"/>
      <c r="O694" s="37"/>
      <c r="P694" s="37"/>
      <c r="Q694" s="37"/>
      <c r="R694" s="37"/>
      <c r="S694" s="37"/>
      <c r="T694" s="37"/>
      <c r="U694" s="37"/>
      <c r="V694" s="37"/>
      <c r="W694" s="37"/>
      <c r="X694" s="37"/>
      <c r="Y694" s="37"/>
      <c r="Z694" s="37"/>
      <c r="AA694" s="37"/>
    </row>
    <row r="695" spans="1:27">
      <c r="A695" s="37"/>
      <c r="B695" s="37"/>
      <c r="C695" s="37"/>
      <c r="D695" s="37"/>
      <c r="E695" s="37"/>
      <c r="F695" s="36"/>
      <c r="G695" s="37"/>
      <c r="H695" s="37"/>
      <c r="I695" s="78"/>
      <c r="J695" s="78"/>
      <c r="K695" s="38"/>
      <c r="L695" s="35"/>
      <c r="M695" s="453"/>
      <c r="N695" s="37"/>
      <c r="O695" s="37"/>
      <c r="P695" s="37"/>
      <c r="Q695" s="37"/>
      <c r="R695" s="37"/>
      <c r="S695" s="37"/>
      <c r="T695" s="37"/>
      <c r="U695" s="37"/>
      <c r="V695" s="37"/>
      <c r="W695" s="37"/>
      <c r="X695" s="37"/>
      <c r="Y695" s="37"/>
      <c r="Z695" s="37"/>
      <c r="AA695" s="37"/>
    </row>
    <row r="696" spans="1:27">
      <c r="A696" s="37"/>
      <c r="B696" s="37"/>
      <c r="C696" s="37"/>
      <c r="D696" s="37"/>
      <c r="E696" s="37"/>
      <c r="F696" s="36"/>
      <c r="G696" s="37"/>
      <c r="H696" s="37"/>
      <c r="I696" s="78"/>
      <c r="J696" s="78"/>
      <c r="K696" s="38"/>
      <c r="L696" s="35"/>
      <c r="M696" s="453"/>
      <c r="N696" s="37"/>
      <c r="O696" s="37"/>
      <c r="P696" s="37"/>
      <c r="Q696" s="37"/>
      <c r="R696" s="37"/>
      <c r="S696" s="37"/>
      <c r="T696" s="37"/>
      <c r="U696" s="37"/>
      <c r="V696" s="37"/>
      <c r="W696" s="37"/>
      <c r="X696" s="37"/>
      <c r="Y696" s="37"/>
      <c r="Z696" s="37"/>
      <c r="AA696" s="37"/>
    </row>
    <row r="697" spans="1:27">
      <c r="A697" s="37"/>
      <c r="B697" s="37"/>
      <c r="C697" s="37"/>
      <c r="D697" s="37"/>
      <c r="E697" s="37"/>
      <c r="F697" s="36"/>
      <c r="G697" s="37"/>
      <c r="H697" s="37"/>
      <c r="I697" s="78"/>
      <c r="J697" s="78"/>
      <c r="K697" s="38"/>
      <c r="L697" s="35"/>
      <c r="M697" s="453"/>
      <c r="N697" s="37"/>
      <c r="O697" s="37"/>
      <c r="P697" s="37"/>
      <c r="Q697" s="37"/>
      <c r="R697" s="37"/>
      <c r="S697" s="37"/>
      <c r="T697" s="37"/>
      <c r="U697" s="37"/>
      <c r="V697" s="37"/>
      <c r="W697" s="37"/>
      <c r="X697" s="37"/>
      <c r="Y697" s="37"/>
      <c r="Z697" s="37"/>
      <c r="AA697" s="37"/>
    </row>
    <row r="698" spans="1:27">
      <c r="A698" s="37"/>
      <c r="B698" s="37"/>
      <c r="C698" s="37"/>
      <c r="D698" s="37"/>
      <c r="E698" s="37"/>
      <c r="F698" s="36"/>
      <c r="G698" s="37"/>
      <c r="H698" s="37"/>
      <c r="I698" s="78"/>
      <c r="J698" s="78"/>
      <c r="K698" s="38"/>
      <c r="L698" s="35"/>
      <c r="M698" s="453"/>
      <c r="N698" s="37"/>
      <c r="O698" s="37"/>
      <c r="P698" s="37"/>
      <c r="Q698" s="37"/>
      <c r="R698" s="37"/>
      <c r="S698" s="37"/>
      <c r="T698" s="37"/>
      <c r="U698" s="37"/>
      <c r="V698" s="37"/>
      <c r="W698" s="37"/>
      <c r="X698" s="37"/>
      <c r="Y698" s="37"/>
      <c r="Z698" s="37"/>
      <c r="AA698" s="37"/>
    </row>
    <row r="699" spans="1:27">
      <c r="A699" s="37"/>
      <c r="B699" s="37"/>
      <c r="C699" s="37"/>
      <c r="D699" s="37"/>
      <c r="E699" s="37"/>
      <c r="F699" s="36"/>
      <c r="G699" s="37"/>
      <c r="H699" s="37"/>
      <c r="I699" s="78"/>
      <c r="J699" s="78"/>
      <c r="K699" s="38"/>
      <c r="L699" s="35"/>
      <c r="M699" s="453"/>
      <c r="N699" s="37"/>
      <c r="O699" s="37"/>
      <c r="P699" s="37"/>
      <c r="Q699" s="37"/>
      <c r="R699" s="37"/>
      <c r="S699" s="37"/>
      <c r="T699" s="37"/>
      <c r="U699" s="37"/>
      <c r="V699" s="37"/>
      <c r="W699" s="37"/>
      <c r="X699" s="37"/>
      <c r="Y699" s="37"/>
      <c r="Z699" s="37"/>
      <c r="AA699" s="37"/>
    </row>
    <row r="700" spans="1:27">
      <c r="A700" s="37"/>
      <c r="B700" s="37"/>
      <c r="C700" s="37"/>
      <c r="D700" s="37"/>
      <c r="E700" s="37"/>
      <c r="F700" s="36"/>
      <c r="G700" s="37"/>
      <c r="H700" s="37"/>
      <c r="I700" s="78"/>
      <c r="J700" s="78"/>
      <c r="K700" s="38"/>
      <c r="L700" s="35"/>
      <c r="M700" s="453"/>
      <c r="N700" s="37"/>
      <c r="O700" s="37"/>
      <c r="P700" s="37"/>
      <c r="Q700" s="37"/>
      <c r="R700" s="37"/>
      <c r="S700" s="37"/>
      <c r="T700" s="37"/>
      <c r="U700" s="37"/>
      <c r="V700" s="37"/>
      <c r="W700" s="37"/>
      <c r="X700" s="37"/>
      <c r="Y700" s="37"/>
      <c r="Z700" s="37"/>
      <c r="AA700" s="37"/>
    </row>
    <row r="701" spans="1:27">
      <c r="A701" s="37"/>
      <c r="B701" s="37"/>
      <c r="C701" s="37"/>
      <c r="D701" s="37"/>
      <c r="E701" s="37"/>
      <c r="F701" s="36"/>
      <c r="G701" s="37"/>
      <c r="H701" s="37"/>
      <c r="I701" s="78"/>
      <c r="J701" s="78"/>
      <c r="K701" s="38"/>
      <c r="L701" s="35"/>
      <c r="M701" s="453"/>
      <c r="N701" s="37"/>
      <c r="O701" s="37"/>
      <c r="P701" s="37"/>
      <c r="Q701" s="37"/>
      <c r="R701" s="37"/>
      <c r="S701" s="37"/>
      <c r="T701" s="37"/>
      <c r="U701" s="37"/>
      <c r="V701" s="37"/>
      <c r="W701" s="37"/>
      <c r="X701" s="37"/>
      <c r="Y701" s="37"/>
      <c r="Z701" s="37"/>
      <c r="AA701" s="37"/>
    </row>
    <row r="702" spans="1:27">
      <c r="A702" s="37"/>
      <c r="B702" s="37"/>
      <c r="C702" s="37"/>
      <c r="D702" s="37"/>
      <c r="E702" s="37"/>
      <c r="F702" s="36"/>
      <c r="G702" s="37"/>
      <c r="H702" s="37"/>
      <c r="I702" s="78"/>
      <c r="J702" s="78"/>
      <c r="K702" s="38"/>
      <c r="L702" s="35"/>
      <c r="M702" s="453"/>
      <c r="N702" s="37"/>
      <c r="O702" s="37"/>
      <c r="P702" s="37"/>
      <c r="Q702" s="37"/>
      <c r="R702" s="37"/>
      <c r="S702" s="37"/>
      <c r="T702" s="37"/>
      <c r="U702" s="37"/>
      <c r="V702" s="37"/>
      <c r="W702" s="37"/>
      <c r="X702" s="37"/>
      <c r="Y702" s="37"/>
      <c r="Z702" s="37"/>
      <c r="AA702" s="37"/>
    </row>
    <row r="703" spans="1:27">
      <c r="A703" s="37"/>
      <c r="B703" s="37"/>
      <c r="C703" s="37"/>
      <c r="D703" s="37"/>
      <c r="E703" s="37"/>
      <c r="F703" s="36"/>
      <c r="G703" s="37"/>
      <c r="H703" s="37"/>
      <c r="I703" s="78"/>
      <c r="J703" s="78"/>
      <c r="K703" s="38"/>
      <c r="L703" s="35"/>
      <c r="M703" s="453"/>
      <c r="N703" s="37"/>
      <c r="O703" s="37"/>
      <c r="P703" s="37"/>
      <c r="Q703" s="37"/>
      <c r="R703" s="37"/>
      <c r="S703" s="37"/>
      <c r="T703" s="37"/>
      <c r="U703" s="37"/>
      <c r="V703" s="37"/>
      <c r="W703" s="37"/>
      <c r="X703" s="37"/>
      <c r="Y703" s="37"/>
      <c r="Z703" s="37"/>
      <c r="AA703" s="37"/>
    </row>
    <row r="704" spans="1:27">
      <c r="A704" s="37"/>
      <c r="B704" s="37"/>
      <c r="C704" s="37"/>
      <c r="D704" s="37"/>
      <c r="E704" s="37"/>
      <c r="F704" s="36"/>
      <c r="G704" s="37"/>
      <c r="H704" s="37"/>
      <c r="I704" s="78"/>
      <c r="J704" s="78"/>
      <c r="K704" s="38"/>
      <c r="L704" s="35"/>
      <c r="M704" s="453"/>
      <c r="N704" s="37"/>
      <c r="O704" s="37"/>
      <c r="P704" s="37"/>
      <c r="Q704" s="37"/>
      <c r="R704" s="37"/>
      <c r="S704" s="37"/>
      <c r="T704" s="37"/>
      <c r="U704" s="37"/>
      <c r="V704" s="37"/>
      <c r="W704" s="37"/>
      <c r="X704" s="37"/>
      <c r="Y704" s="37"/>
      <c r="Z704" s="37"/>
      <c r="AA704" s="37"/>
    </row>
    <row r="705" spans="1:27">
      <c r="A705" s="37"/>
      <c r="B705" s="37"/>
      <c r="C705" s="37"/>
      <c r="D705" s="37"/>
      <c r="E705" s="37"/>
      <c r="F705" s="36"/>
      <c r="G705" s="37"/>
      <c r="H705" s="37"/>
      <c r="I705" s="78"/>
      <c r="J705" s="78"/>
      <c r="K705" s="38"/>
      <c r="L705" s="35"/>
      <c r="M705" s="453"/>
      <c r="N705" s="37"/>
      <c r="O705" s="37"/>
      <c r="P705" s="37"/>
      <c r="Q705" s="37"/>
      <c r="R705" s="37"/>
      <c r="S705" s="37"/>
      <c r="T705" s="37"/>
      <c r="U705" s="37"/>
      <c r="V705" s="37"/>
      <c r="W705" s="37"/>
      <c r="X705" s="37"/>
      <c r="Y705" s="37"/>
      <c r="Z705" s="37"/>
      <c r="AA705" s="37"/>
    </row>
    <row r="706" spans="1:27">
      <c r="A706" s="37"/>
      <c r="B706" s="37"/>
      <c r="C706" s="37"/>
      <c r="D706" s="37"/>
      <c r="E706" s="37"/>
      <c r="F706" s="36"/>
      <c r="G706" s="37"/>
      <c r="H706" s="37"/>
      <c r="I706" s="78"/>
      <c r="J706" s="78"/>
      <c r="K706" s="38"/>
      <c r="L706" s="35"/>
      <c r="M706" s="453"/>
      <c r="N706" s="37"/>
      <c r="O706" s="37"/>
      <c r="P706" s="37"/>
      <c r="Q706" s="37"/>
      <c r="R706" s="37"/>
      <c r="S706" s="37"/>
      <c r="T706" s="37"/>
      <c r="U706" s="37"/>
      <c r="V706" s="37"/>
      <c r="W706" s="37"/>
      <c r="X706" s="37"/>
      <c r="Y706" s="37"/>
      <c r="Z706" s="37"/>
      <c r="AA706" s="37"/>
    </row>
    <row r="707" spans="1:27">
      <c r="A707" s="37"/>
      <c r="B707" s="37"/>
      <c r="C707" s="37"/>
      <c r="D707" s="37"/>
      <c r="E707" s="37"/>
      <c r="F707" s="36"/>
      <c r="G707" s="37"/>
      <c r="H707" s="37"/>
      <c r="I707" s="78"/>
      <c r="J707" s="78"/>
      <c r="K707" s="38"/>
      <c r="L707" s="35"/>
      <c r="M707" s="453"/>
      <c r="N707" s="37"/>
      <c r="O707" s="37"/>
      <c r="P707" s="37"/>
      <c r="Q707" s="37"/>
      <c r="R707" s="37"/>
      <c r="S707" s="37"/>
      <c r="T707" s="37"/>
      <c r="U707" s="37"/>
      <c r="V707" s="37"/>
      <c r="W707" s="37"/>
      <c r="X707" s="37"/>
      <c r="Y707" s="37"/>
      <c r="Z707" s="37"/>
      <c r="AA707" s="37"/>
    </row>
    <row r="708" spans="1:27">
      <c r="A708" s="37"/>
      <c r="B708" s="37"/>
      <c r="C708" s="37"/>
      <c r="D708" s="37"/>
      <c r="E708" s="37"/>
      <c r="F708" s="36"/>
      <c r="G708" s="37"/>
      <c r="H708" s="37"/>
      <c r="I708" s="78"/>
      <c r="J708" s="78"/>
      <c r="K708" s="38"/>
      <c r="L708" s="35"/>
      <c r="M708" s="453"/>
      <c r="N708" s="37"/>
      <c r="O708" s="37"/>
      <c r="P708" s="37"/>
      <c r="Q708" s="37"/>
      <c r="R708" s="37"/>
      <c r="S708" s="37"/>
      <c r="T708" s="37"/>
      <c r="U708" s="37"/>
      <c r="V708" s="37"/>
      <c r="W708" s="37"/>
      <c r="X708" s="37"/>
      <c r="Y708" s="37"/>
      <c r="Z708" s="37"/>
      <c r="AA708" s="37"/>
    </row>
    <row r="709" spans="1:27">
      <c r="A709" s="37"/>
      <c r="B709" s="37"/>
      <c r="C709" s="37"/>
      <c r="D709" s="37"/>
      <c r="E709" s="37"/>
      <c r="F709" s="36"/>
      <c r="G709" s="37"/>
      <c r="H709" s="37"/>
      <c r="I709" s="78"/>
      <c r="J709" s="78"/>
      <c r="K709" s="38"/>
      <c r="L709" s="35"/>
      <c r="M709" s="453"/>
      <c r="N709" s="37"/>
      <c r="O709" s="37"/>
      <c r="P709" s="37"/>
      <c r="Q709" s="37"/>
      <c r="R709" s="37"/>
      <c r="S709" s="37"/>
      <c r="T709" s="37"/>
      <c r="U709" s="37"/>
      <c r="V709" s="37"/>
      <c r="W709" s="37"/>
      <c r="X709" s="37"/>
      <c r="Y709" s="37"/>
      <c r="Z709" s="37"/>
      <c r="AA709" s="37"/>
    </row>
    <row r="710" spans="1:27">
      <c r="A710" s="37"/>
      <c r="B710" s="37"/>
      <c r="C710" s="37"/>
      <c r="D710" s="37"/>
      <c r="E710" s="37"/>
      <c r="F710" s="36"/>
      <c r="G710" s="37"/>
      <c r="H710" s="37"/>
      <c r="I710" s="78"/>
      <c r="J710" s="78"/>
      <c r="K710" s="38"/>
      <c r="L710" s="35"/>
      <c r="M710" s="453"/>
      <c r="N710" s="37"/>
      <c r="O710" s="37"/>
      <c r="P710" s="37"/>
      <c r="Q710" s="37"/>
      <c r="R710" s="37"/>
      <c r="S710" s="37"/>
      <c r="T710" s="37"/>
      <c r="U710" s="37"/>
      <c r="V710" s="37"/>
      <c r="W710" s="37"/>
      <c r="X710" s="37"/>
      <c r="Y710" s="37"/>
      <c r="Z710" s="37"/>
      <c r="AA710" s="37"/>
    </row>
    <row r="711" spans="1:27">
      <c r="A711" s="37"/>
      <c r="B711" s="37"/>
      <c r="C711" s="37"/>
      <c r="D711" s="37"/>
      <c r="E711" s="37"/>
      <c r="F711" s="36"/>
      <c r="G711" s="37"/>
      <c r="H711" s="37"/>
      <c r="I711" s="78"/>
      <c r="J711" s="78"/>
      <c r="K711" s="38"/>
      <c r="L711" s="35"/>
      <c r="M711" s="453"/>
      <c r="N711" s="37"/>
      <c r="O711" s="37"/>
      <c r="P711" s="37"/>
      <c r="Q711" s="37"/>
      <c r="R711" s="37"/>
      <c r="S711" s="37"/>
      <c r="T711" s="37"/>
      <c r="U711" s="37"/>
      <c r="V711" s="37"/>
      <c r="W711" s="37"/>
      <c r="X711" s="37"/>
      <c r="Y711" s="37"/>
      <c r="Z711" s="37"/>
      <c r="AA711" s="37"/>
    </row>
    <row r="712" spans="1:27">
      <c r="A712" s="37"/>
      <c r="B712" s="37"/>
      <c r="C712" s="37"/>
      <c r="D712" s="37"/>
      <c r="E712" s="37"/>
      <c r="F712" s="36"/>
      <c r="G712" s="37"/>
      <c r="H712" s="37"/>
      <c r="I712" s="78"/>
      <c r="J712" s="78"/>
      <c r="K712" s="38"/>
      <c r="L712" s="35"/>
      <c r="M712" s="453"/>
      <c r="N712" s="37"/>
      <c r="O712" s="37"/>
      <c r="P712" s="37"/>
      <c r="Q712" s="37"/>
      <c r="R712" s="37"/>
      <c r="S712" s="37"/>
      <c r="T712" s="37"/>
      <c r="U712" s="37"/>
      <c r="V712" s="37"/>
      <c r="W712" s="37"/>
      <c r="X712" s="37"/>
      <c r="Y712" s="37"/>
      <c r="Z712" s="37"/>
      <c r="AA712" s="37"/>
    </row>
    <row r="713" spans="1:27">
      <c r="A713" s="37"/>
      <c r="B713" s="37"/>
      <c r="C713" s="37"/>
      <c r="D713" s="37"/>
      <c r="E713" s="37"/>
      <c r="F713" s="36"/>
      <c r="G713" s="37"/>
      <c r="H713" s="37"/>
      <c r="I713" s="78"/>
      <c r="J713" s="78"/>
      <c r="K713" s="38"/>
      <c r="L713" s="35"/>
      <c r="M713" s="453"/>
      <c r="N713" s="37"/>
      <c r="O713" s="37"/>
      <c r="P713" s="37"/>
      <c r="Q713" s="37"/>
      <c r="R713" s="37"/>
      <c r="S713" s="37"/>
      <c r="T713" s="37"/>
      <c r="U713" s="37"/>
      <c r="V713" s="37"/>
      <c r="W713" s="37"/>
      <c r="X713" s="37"/>
      <c r="Y713" s="37"/>
      <c r="Z713" s="37"/>
      <c r="AA713" s="37"/>
    </row>
    <row r="714" spans="1:27">
      <c r="A714" s="37"/>
      <c r="B714" s="37"/>
      <c r="C714" s="37"/>
      <c r="D714" s="37"/>
      <c r="E714" s="37"/>
      <c r="F714" s="36"/>
      <c r="G714" s="37"/>
      <c r="H714" s="37"/>
      <c r="I714" s="78"/>
      <c r="J714" s="78"/>
      <c r="K714" s="38"/>
      <c r="L714" s="35"/>
      <c r="M714" s="453"/>
      <c r="N714" s="37"/>
      <c r="O714" s="37"/>
      <c r="P714" s="37"/>
      <c r="Q714" s="37"/>
      <c r="R714" s="37"/>
      <c r="S714" s="37"/>
      <c r="T714" s="37"/>
      <c r="U714" s="37"/>
      <c r="V714" s="37"/>
      <c r="W714" s="37"/>
      <c r="X714" s="37"/>
      <c r="Y714" s="37"/>
      <c r="Z714" s="37"/>
      <c r="AA714" s="37"/>
    </row>
    <row r="715" spans="1:27">
      <c r="A715" s="37"/>
      <c r="B715" s="37"/>
      <c r="C715" s="37"/>
      <c r="D715" s="37"/>
      <c r="E715" s="37"/>
      <c r="F715" s="36"/>
      <c r="G715" s="37"/>
      <c r="H715" s="37"/>
      <c r="I715" s="78"/>
      <c r="J715" s="78"/>
      <c r="K715" s="38"/>
      <c r="L715" s="35"/>
      <c r="M715" s="453"/>
      <c r="N715" s="37"/>
      <c r="O715" s="37"/>
      <c r="P715" s="37"/>
      <c r="Q715" s="37"/>
      <c r="R715" s="37"/>
      <c r="S715" s="37"/>
      <c r="T715" s="37"/>
      <c r="U715" s="37"/>
      <c r="V715" s="37"/>
      <c r="W715" s="37"/>
      <c r="X715" s="37"/>
      <c r="Y715" s="37"/>
      <c r="Z715" s="37"/>
      <c r="AA715" s="37"/>
    </row>
    <row r="716" spans="1:27">
      <c r="A716" s="37"/>
      <c r="B716" s="37"/>
      <c r="C716" s="37"/>
      <c r="D716" s="37"/>
      <c r="E716" s="37"/>
      <c r="F716" s="36"/>
      <c r="G716" s="37"/>
      <c r="H716" s="37"/>
      <c r="I716" s="78"/>
      <c r="J716" s="78"/>
      <c r="K716" s="38"/>
      <c r="L716" s="35"/>
      <c r="M716" s="453"/>
      <c r="N716" s="37"/>
      <c r="O716" s="37"/>
      <c r="P716" s="37"/>
      <c r="Q716" s="37"/>
      <c r="R716" s="37"/>
      <c r="S716" s="37"/>
      <c r="T716" s="37"/>
      <c r="U716" s="37"/>
      <c r="V716" s="37"/>
      <c r="W716" s="37"/>
      <c r="X716" s="37"/>
      <c r="Y716" s="37"/>
      <c r="Z716" s="37"/>
      <c r="AA716" s="37"/>
    </row>
    <row r="717" spans="1:27">
      <c r="A717" s="37"/>
      <c r="B717" s="37"/>
      <c r="C717" s="37"/>
      <c r="D717" s="37"/>
      <c r="E717" s="37"/>
      <c r="F717" s="36"/>
      <c r="G717" s="37"/>
      <c r="H717" s="37"/>
      <c r="I717" s="78"/>
      <c r="J717" s="78"/>
      <c r="K717" s="38"/>
      <c r="L717" s="35"/>
      <c r="M717" s="453"/>
      <c r="N717" s="37"/>
      <c r="O717" s="37"/>
      <c r="P717" s="37"/>
      <c r="Q717" s="37"/>
      <c r="R717" s="37"/>
      <c r="S717" s="37"/>
      <c r="T717" s="37"/>
      <c r="U717" s="37"/>
      <c r="V717" s="37"/>
      <c r="W717" s="37"/>
      <c r="X717" s="37"/>
      <c r="Y717" s="37"/>
      <c r="Z717" s="37"/>
      <c r="AA717" s="37"/>
    </row>
    <row r="718" spans="1:27">
      <c r="A718" s="37"/>
      <c r="B718" s="37"/>
      <c r="C718" s="37"/>
      <c r="D718" s="37"/>
      <c r="E718" s="37"/>
      <c r="F718" s="36"/>
      <c r="G718" s="37"/>
      <c r="H718" s="37"/>
      <c r="I718" s="78"/>
      <c r="J718" s="78"/>
      <c r="K718" s="38"/>
      <c r="L718" s="35"/>
      <c r="M718" s="453"/>
      <c r="N718" s="37"/>
      <c r="O718" s="37"/>
      <c r="P718" s="37"/>
      <c r="Q718" s="37"/>
      <c r="R718" s="37"/>
      <c r="S718" s="37"/>
      <c r="T718" s="37"/>
      <c r="U718" s="37"/>
      <c r="V718" s="37"/>
      <c r="W718" s="37"/>
      <c r="X718" s="37"/>
      <c r="Y718" s="37"/>
      <c r="Z718" s="37"/>
      <c r="AA718" s="37"/>
    </row>
    <row r="719" spans="1:27">
      <c r="A719" s="37"/>
      <c r="B719" s="37"/>
      <c r="C719" s="37"/>
      <c r="D719" s="37"/>
      <c r="E719" s="37"/>
      <c r="F719" s="36"/>
      <c r="G719" s="37"/>
      <c r="H719" s="37"/>
      <c r="I719" s="78"/>
      <c r="J719" s="78"/>
      <c r="K719" s="38"/>
      <c r="L719" s="35"/>
      <c r="M719" s="453"/>
      <c r="N719" s="37"/>
      <c r="O719" s="37"/>
      <c r="P719" s="37"/>
      <c r="Q719" s="37"/>
      <c r="R719" s="37"/>
      <c r="S719" s="37"/>
      <c r="T719" s="37"/>
      <c r="U719" s="37"/>
      <c r="V719" s="37"/>
      <c r="W719" s="37"/>
      <c r="X719" s="37"/>
      <c r="Y719" s="37"/>
      <c r="Z719" s="37"/>
      <c r="AA719" s="37"/>
    </row>
    <row r="720" spans="1:27">
      <c r="A720" s="37"/>
      <c r="B720" s="37"/>
      <c r="C720" s="37"/>
      <c r="D720" s="37"/>
      <c r="E720" s="37"/>
      <c r="F720" s="36"/>
      <c r="G720" s="37"/>
      <c r="H720" s="37"/>
      <c r="I720" s="78"/>
      <c r="J720" s="78"/>
      <c r="K720" s="38"/>
      <c r="L720" s="35"/>
      <c r="M720" s="453"/>
      <c r="N720" s="37"/>
      <c r="O720" s="37"/>
      <c r="P720" s="37"/>
      <c r="Q720" s="37"/>
      <c r="R720" s="37"/>
      <c r="S720" s="37"/>
      <c r="T720" s="37"/>
      <c r="U720" s="37"/>
      <c r="V720" s="37"/>
      <c r="W720" s="37"/>
      <c r="X720" s="37"/>
      <c r="Y720" s="37"/>
      <c r="Z720" s="37"/>
      <c r="AA720" s="37"/>
    </row>
    <row r="721" spans="1:27">
      <c r="A721" s="37"/>
      <c r="B721" s="37"/>
      <c r="C721" s="37"/>
      <c r="D721" s="37"/>
      <c r="E721" s="37"/>
      <c r="F721" s="36"/>
      <c r="G721" s="37"/>
      <c r="H721" s="37"/>
      <c r="I721" s="78"/>
      <c r="J721" s="78"/>
      <c r="K721" s="38"/>
      <c r="L721" s="35"/>
      <c r="M721" s="453"/>
      <c r="N721" s="37"/>
      <c r="O721" s="37"/>
      <c r="P721" s="37"/>
      <c r="Q721" s="37"/>
      <c r="R721" s="37"/>
      <c r="S721" s="37"/>
      <c r="T721" s="37"/>
      <c r="U721" s="37"/>
      <c r="V721" s="37"/>
      <c r="W721" s="37"/>
      <c r="X721" s="37"/>
      <c r="Y721" s="37"/>
      <c r="Z721" s="37"/>
      <c r="AA721" s="37"/>
    </row>
    <row r="722" spans="1:27">
      <c r="A722" s="37"/>
      <c r="B722" s="37"/>
      <c r="C722" s="37"/>
      <c r="D722" s="37"/>
      <c r="E722" s="37"/>
      <c r="F722" s="36"/>
      <c r="G722" s="37"/>
      <c r="H722" s="37"/>
      <c r="I722" s="78"/>
      <c r="J722" s="78"/>
      <c r="K722" s="38"/>
      <c r="L722" s="35"/>
      <c r="M722" s="453"/>
      <c r="N722" s="37"/>
      <c r="O722" s="37"/>
      <c r="P722" s="37"/>
      <c r="Q722" s="37"/>
      <c r="R722" s="37"/>
      <c r="S722" s="37"/>
      <c r="T722" s="37"/>
      <c r="U722" s="37"/>
      <c r="V722" s="37"/>
      <c r="W722" s="37"/>
      <c r="X722" s="37"/>
      <c r="Y722" s="37"/>
      <c r="Z722" s="37"/>
      <c r="AA722" s="37"/>
    </row>
    <row r="723" spans="1:27">
      <c r="A723" s="37"/>
      <c r="B723" s="37"/>
      <c r="C723" s="37"/>
      <c r="D723" s="37"/>
      <c r="E723" s="37"/>
      <c r="F723" s="36"/>
      <c r="G723" s="37"/>
      <c r="H723" s="37"/>
      <c r="I723" s="78"/>
      <c r="J723" s="78"/>
      <c r="K723" s="38"/>
      <c r="L723" s="35"/>
      <c r="M723" s="453"/>
      <c r="N723" s="37"/>
      <c r="O723" s="37"/>
      <c r="P723" s="37"/>
      <c r="Q723" s="37"/>
      <c r="R723" s="37"/>
      <c r="S723" s="37"/>
      <c r="T723" s="37"/>
      <c r="U723" s="37"/>
      <c r="V723" s="37"/>
      <c r="W723" s="37"/>
      <c r="X723" s="37"/>
      <c r="Y723" s="37"/>
      <c r="Z723" s="37"/>
      <c r="AA723" s="37"/>
    </row>
    <row r="724" spans="1:27">
      <c r="A724" s="37"/>
      <c r="B724" s="37"/>
      <c r="C724" s="37"/>
      <c r="D724" s="37"/>
      <c r="E724" s="37"/>
      <c r="F724" s="36"/>
      <c r="G724" s="37"/>
      <c r="H724" s="37"/>
      <c r="I724" s="78"/>
      <c r="J724" s="78"/>
      <c r="K724" s="38"/>
      <c r="L724" s="35"/>
      <c r="M724" s="453"/>
      <c r="N724" s="37"/>
      <c r="O724" s="37"/>
      <c r="P724" s="37"/>
      <c r="Q724" s="37"/>
      <c r="R724" s="37"/>
      <c r="S724" s="37"/>
      <c r="T724" s="37"/>
      <c r="U724" s="37"/>
      <c r="V724" s="37"/>
      <c r="W724" s="37"/>
      <c r="X724" s="37"/>
      <c r="Y724" s="37"/>
      <c r="Z724" s="37"/>
      <c r="AA724" s="37"/>
    </row>
    <row r="725" spans="1:27">
      <c r="A725" s="37"/>
      <c r="B725" s="37"/>
      <c r="C725" s="37"/>
      <c r="D725" s="37"/>
      <c r="E725" s="37"/>
      <c r="F725" s="36"/>
      <c r="G725" s="37"/>
      <c r="H725" s="37"/>
      <c r="I725" s="78"/>
      <c r="J725" s="78"/>
      <c r="K725" s="38"/>
      <c r="L725" s="35"/>
      <c r="M725" s="453"/>
      <c r="N725" s="37"/>
      <c r="O725" s="37"/>
      <c r="P725" s="37"/>
      <c r="Q725" s="37"/>
      <c r="R725" s="37"/>
      <c r="S725" s="37"/>
      <c r="T725" s="37"/>
      <c r="U725" s="37"/>
      <c r="V725" s="37"/>
      <c r="W725" s="37"/>
      <c r="X725" s="37"/>
      <c r="Y725" s="37"/>
      <c r="Z725" s="37"/>
      <c r="AA725" s="37"/>
    </row>
    <row r="726" spans="1:27">
      <c r="A726" s="37"/>
      <c r="B726" s="37"/>
      <c r="C726" s="37"/>
      <c r="D726" s="37"/>
      <c r="E726" s="37"/>
      <c r="F726" s="36"/>
      <c r="G726" s="37"/>
      <c r="H726" s="37"/>
      <c r="I726" s="78"/>
      <c r="J726" s="78"/>
      <c r="K726" s="38"/>
      <c r="L726" s="35"/>
      <c r="M726" s="453"/>
      <c r="N726" s="37"/>
      <c r="O726" s="37"/>
      <c r="P726" s="37"/>
      <c r="Q726" s="37"/>
      <c r="R726" s="37"/>
      <c r="S726" s="37"/>
      <c r="T726" s="37"/>
      <c r="U726" s="37"/>
      <c r="V726" s="37"/>
      <c r="W726" s="37"/>
      <c r="X726" s="37"/>
      <c r="Y726" s="37"/>
      <c r="Z726" s="37"/>
      <c r="AA726" s="37"/>
    </row>
    <row r="727" spans="1:27">
      <c r="A727" s="37"/>
      <c r="B727" s="37"/>
      <c r="C727" s="37"/>
      <c r="D727" s="37"/>
      <c r="E727" s="37"/>
      <c r="F727" s="36"/>
      <c r="G727" s="37"/>
      <c r="H727" s="37"/>
      <c r="I727" s="78"/>
      <c r="J727" s="78"/>
      <c r="K727" s="38"/>
      <c r="L727" s="35"/>
      <c r="M727" s="453"/>
      <c r="N727" s="37"/>
      <c r="O727" s="37"/>
      <c r="P727" s="37"/>
      <c r="Q727" s="37"/>
      <c r="R727" s="37"/>
      <c r="S727" s="37"/>
      <c r="T727" s="37"/>
      <c r="U727" s="37"/>
      <c r="V727" s="37"/>
      <c r="W727" s="37"/>
      <c r="X727" s="37"/>
      <c r="Y727" s="37"/>
      <c r="Z727" s="37"/>
      <c r="AA727" s="37"/>
    </row>
    <row r="728" spans="1:27">
      <c r="A728" s="37"/>
      <c r="B728" s="37"/>
      <c r="C728" s="37"/>
      <c r="D728" s="37"/>
      <c r="E728" s="37"/>
      <c r="F728" s="36"/>
      <c r="G728" s="37"/>
      <c r="H728" s="37"/>
      <c r="I728" s="78"/>
      <c r="J728" s="78"/>
      <c r="K728" s="38"/>
      <c r="L728" s="35"/>
      <c r="M728" s="453"/>
      <c r="N728" s="37"/>
      <c r="O728" s="37"/>
      <c r="P728" s="37"/>
      <c r="Q728" s="37"/>
      <c r="R728" s="37"/>
      <c r="S728" s="37"/>
      <c r="T728" s="37"/>
      <c r="U728" s="37"/>
      <c r="V728" s="37"/>
      <c r="W728" s="37"/>
      <c r="X728" s="37"/>
      <c r="Y728" s="37"/>
      <c r="Z728" s="37"/>
      <c r="AA728" s="37"/>
    </row>
    <row r="729" spans="1:27">
      <c r="A729" s="37"/>
      <c r="B729" s="37"/>
      <c r="C729" s="37"/>
      <c r="D729" s="37"/>
      <c r="E729" s="37"/>
      <c r="F729" s="36"/>
      <c r="G729" s="37"/>
      <c r="H729" s="37"/>
      <c r="I729" s="78"/>
      <c r="J729" s="78"/>
      <c r="K729" s="38"/>
      <c r="L729" s="35"/>
      <c r="M729" s="453"/>
      <c r="N729" s="37"/>
      <c r="O729" s="37"/>
      <c r="P729" s="37"/>
      <c r="Q729" s="37"/>
      <c r="R729" s="37"/>
      <c r="S729" s="37"/>
      <c r="T729" s="37"/>
      <c r="U729" s="37"/>
      <c r="V729" s="37"/>
      <c r="W729" s="37"/>
      <c r="X729" s="37"/>
      <c r="Y729" s="37"/>
      <c r="Z729" s="37"/>
      <c r="AA729" s="37"/>
    </row>
    <row r="730" spans="1:27">
      <c r="A730" s="37"/>
      <c r="B730" s="37"/>
      <c r="C730" s="37"/>
      <c r="D730" s="37"/>
      <c r="E730" s="37"/>
      <c r="F730" s="36"/>
      <c r="G730" s="37"/>
      <c r="H730" s="37"/>
      <c r="I730" s="78"/>
      <c r="J730" s="78"/>
      <c r="K730" s="38"/>
      <c r="L730" s="35"/>
      <c r="M730" s="453"/>
      <c r="N730" s="37"/>
      <c r="O730" s="37"/>
      <c r="P730" s="37"/>
      <c r="Q730" s="37"/>
      <c r="R730" s="37"/>
      <c r="S730" s="37"/>
      <c r="T730" s="37"/>
      <c r="U730" s="37"/>
      <c r="V730" s="37"/>
      <c r="W730" s="37"/>
      <c r="X730" s="37"/>
      <c r="Y730" s="37"/>
      <c r="Z730" s="37"/>
      <c r="AA730" s="37"/>
    </row>
    <row r="731" spans="1:27">
      <c r="A731" s="37"/>
      <c r="B731" s="37"/>
      <c r="C731" s="37"/>
      <c r="D731" s="37"/>
      <c r="E731" s="37"/>
      <c r="F731" s="36"/>
      <c r="G731" s="37"/>
      <c r="H731" s="37"/>
      <c r="I731" s="78"/>
      <c r="J731" s="78"/>
      <c r="K731" s="38"/>
      <c r="L731" s="35"/>
      <c r="M731" s="453"/>
      <c r="N731" s="37"/>
      <c r="O731" s="37"/>
      <c r="P731" s="37"/>
      <c r="Q731" s="37"/>
      <c r="R731" s="37"/>
      <c r="S731" s="37"/>
      <c r="T731" s="37"/>
      <c r="U731" s="37"/>
      <c r="V731" s="37"/>
      <c r="W731" s="37"/>
      <c r="X731" s="37"/>
      <c r="Y731" s="37"/>
      <c r="Z731" s="37"/>
      <c r="AA731" s="37"/>
    </row>
    <row r="732" spans="1:27">
      <c r="A732" s="37"/>
      <c r="B732" s="37"/>
      <c r="C732" s="37"/>
      <c r="D732" s="37"/>
      <c r="E732" s="37"/>
      <c r="F732" s="36"/>
      <c r="G732" s="37"/>
      <c r="H732" s="37"/>
      <c r="I732" s="78"/>
      <c r="J732" s="78"/>
      <c r="K732" s="38"/>
      <c r="L732" s="35"/>
      <c r="M732" s="453"/>
      <c r="N732" s="37"/>
      <c r="O732" s="37"/>
      <c r="P732" s="37"/>
      <c r="Q732" s="37"/>
      <c r="R732" s="37"/>
      <c r="S732" s="37"/>
      <c r="T732" s="37"/>
      <c r="U732" s="37"/>
      <c r="V732" s="37"/>
      <c r="W732" s="37"/>
      <c r="X732" s="37"/>
      <c r="Y732" s="37"/>
      <c r="Z732" s="37"/>
      <c r="AA732" s="37"/>
    </row>
    <row r="733" spans="1:27">
      <c r="A733" s="37"/>
      <c r="B733" s="37"/>
      <c r="C733" s="37"/>
      <c r="D733" s="37"/>
      <c r="E733" s="37"/>
      <c r="F733" s="36"/>
      <c r="G733" s="37"/>
      <c r="H733" s="37"/>
      <c r="I733" s="78"/>
      <c r="J733" s="78"/>
      <c r="K733" s="38"/>
      <c r="L733" s="35"/>
      <c r="M733" s="453"/>
      <c r="N733" s="37"/>
      <c r="O733" s="37"/>
      <c r="P733" s="37"/>
      <c r="Q733" s="37"/>
      <c r="R733" s="37"/>
      <c r="S733" s="37"/>
      <c r="T733" s="37"/>
      <c r="U733" s="37"/>
      <c r="V733" s="37"/>
      <c r="W733" s="37"/>
      <c r="X733" s="37"/>
      <c r="Y733" s="37"/>
      <c r="Z733" s="37"/>
      <c r="AA733" s="37"/>
    </row>
    <row r="734" spans="1:27">
      <c r="A734" s="37"/>
      <c r="B734" s="37"/>
      <c r="C734" s="37"/>
      <c r="D734" s="37"/>
      <c r="E734" s="37"/>
      <c r="F734" s="36"/>
      <c r="G734" s="37"/>
      <c r="H734" s="37"/>
      <c r="I734" s="78"/>
      <c r="J734" s="78"/>
      <c r="K734" s="38"/>
      <c r="L734" s="35"/>
      <c r="M734" s="453"/>
      <c r="N734" s="37"/>
      <c r="O734" s="37"/>
      <c r="P734" s="37"/>
      <c r="Q734" s="37"/>
      <c r="R734" s="37"/>
      <c r="S734" s="37"/>
      <c r="T734" s="37"/>
      <c r="U734" s="37"/>
      <c r="V734" s="37"/>
      <c r="W734" s="37"/>
      <c r="X734" s="37"/>
      <c r="Y734" s="37"/>
      <c r="Z734" s="37"/>
      <c r="AA734" s="37"/>
    </row>
    <row r="735" spans="1:27">
      <c r="A735" s="37"/>
      <c r="B735" s="37"/>
      <c r="C735" s="37"/>
      <c r="D735" s="37"/>
      <c r="E735" s="37"/>
      <c r="F735" s="36"/>
      <c r="G735" s="37"/>
      <c r="H735" s="37"/>
      <c r="I735" s="78"/>
      <c r="J735" s="78"/>
      <c r="K735" s="38"/>
      <c r="L735" s="35"/>
      <c r="M735" s="453"/>
      <c r="N735" s="37"/>
      <c r="O735" s="37"/>
      <c r="P735" s="37"/>
      <c r="Q735" s="37"/>
      <c r="R735" s="37"/>
      <c r="S735" s="37"/>
      <c r="T735" s="37"/>
      <c r="U735" s="37"/>
      <c r="V735" s="37"/>
      <c r="W735" s="37"/>
      <c r="X735" s="37"/>
      <c r="Y735" s="37"/>
      <c r="Z735" s="37"/>
      <c r="AA735" s="37"/>
    </row>
    <row r="736" spans="1:27">
      <c r="A736" s="37"/>
      <c r="B736" s="37"/>
      <c r="C736" s="37"/>
      <c r="D736" s="37"/>
      <c r="E736" s="37"/>
      <c r="F736" s="36"/>
      <c r="G736" s="37"/>
      <c r="H736" s="37"/>
      <c r="I736" s="78"/>
      <c r="J736" s="78"/>
      <c r="K736" s="38"/>
      <c r="L736" s="35"/>
      <c r="M736" s="453"/>
      <c r="N736" s="37"/>
      <c r="O736" s="37"/>
      <c r="P736" s="37"/>
      <c r="Q736" s="37"/>
      <c r="R736" s="37"/>
      <c r="S736" s="37"/>
      <c r="T736" s="37"/>
      <c r="U736" s="37"/>
      <c r="V736" s="37"/>
      <c r="W736" s="37"/>
      <c r="X736" s="37"/>
      <c r="Y736" s="37"/>
      <c r="Z736" s="37"/>
      <c r="AA736" s="37"/>
    </row>
    <row r="737" spans="1:27">
      <c r="A737" s="37"/>
      <c r="B737" s="37"/>
      <c r="C737" s="37"/>
      <c r="D737" s="37"/>
      <c r="E737" s="37"/>
      <c r="F737" s="36"/>
      <c r="G737" s="37"/>
      <c r="H737" s="37"/>
      <c r="I737" s="78"/>
      <c r="J737" s="78"/>
      <c r="K737" s="38"/>
      <c r="L737" s="35"/>
      <c r="M737" s="453"/>
      <c r="N737" s="37"/>
      <c r="O737" s="37"/>
      <c r="P737" s="37"/>
      <c r="Q737" s="37"/>
      <c r="R737" s="37"/>
      <c r="S737" s="37"/>
      <c r="T737" s="37"/>
      <c r="U737" s="37"/>
      <c r="V737" s="37"/>
      <c r="W737" s="37"/>
      <c r="X737" s="37"/>
      <c r="Y737" s="37"/>
      <c r="Z737" s="37"/>
      <c r="AA737" s="37"/>
    </row>
    <row r="738" spans="1:27">
      <c r="A738" s="37"/>
      <c r="B738" s="37"/>
      <c r="C738" s="37"/>
      <c r="D738" s="37"/>
      <c r="E738" s="37"/>
      <c r="F738" s="36"/>
      <c r="G738" s="37"/>
      <c r="H738" s="37"/>
      <c r="I738" s="78"/>
      <c r="J738" s="78"/>
      <c r="K738" s="38"/>
      <c r="L738" s="35"/>
      <c r="M738" s="453"/>
      <c r="N738" s="37"/>
      <c r="O738" s="37"/>
      <c r="P738" s="37"/>
      <c r="Q738" s="37"/>
      <c r="R738" s="37"/>
      <c r="S738" s="37"/>
      <c r="T738" s="37"/>
      <c r="U738" s="37"/>
      <c r="V738" s="37"/>
      <c r="W738" s="37"/>
      <c r="X738" s="37"/>
      <c r="Y738" s="37"/>
      <c r="Z738" s="37"/>
      <c r="AA738" s="37"/>
    </row>
    <row r="739" spans="1:27">
      <c r="A739" s="37"/>
      <c r="B739" s="37"/>
      <c r="C739" s="37"/>
      <c r="D739" s="37"/>
      <c r="E739" s="37"/>
      <c r="F739" s="36"/>
      <c r="G739" s="37"/>
      <c r="H739" s="37"/>
      <c r="I739" s="78"/>
      <c r="J739" s="78"/>
      <c r="K739" s="38"/>
      <c r="L739" s="35"/>
      <c r="M739" s="453"/>
      <c r="N739" s="37"/>
      <c r="O739" s="37"/>
      <c r="P739" s="37"/>
      <c r="Q739" s="37"/>
      <c r="R739" s="37"/>
      <c r="S739" s="37"/>
      <c r="T739" s="37"/>
      <c r="U739" s="37"/>
      <c r="V739" s="37"/>
      <c r="W739" s="37"/>
      <c r="X739" s="37"/>
      <c r="Y739" s="37"/>
      <c r="Z739" s="37"/>
      <c r="AA739" s="37"/>
    </row>
    <row r="740" spans="1:27">
      <c r="A740" s="37"/>
      <c r="B740" s="37"/>
      <c r="C740" s="37"/>
      <c r="D740" s="37"/>
      <c r="E740" s="37"/>
      <c r="F740" s="36"/>
      <c r="G740" s="37"/>
      <c r="H740" s="37"/>
      <c r="I740" s="78"/>
      <c r="J740" s="78"/>
      <c r="K740" s="38"/>
      <c r="L740" s="35"/>
      <c r="M740" s="453"/>
      <c r="N740" s="37"/>
      <c r="O740" s="37"/>
      <c r="P740" s="37"/>
      <c r="Q740" s="37"/>
      <c r="R740" s="37"/>
      <c r="S740" s="37"/>
      <c r="T740" s="37"/>
      <c r="U740" s="37"/>
      <c r="V740" s="37"/>
      <c r="W740" s="37"/>
      <c r="X740" s="37"/>
      <c r="Y740" s="37"/>
      <c r="Z740" s="37"/>
      <c r="AA740" s="37"/>
    </row>
    <row r="741" spans="1:27">
      <c r="A741" s="37"/>
      <c r="B741" s="37"/>
      <c r="C741" s="37"/>
      <c r="D741" s="37"/>
      <c r="E741" s="37"/>
      <c r="F741" s="36"/>
      <c r="G741" s="37"/>
      <c r="H741" s="37"/>
      <c r="I741" s="78"/>
      <c r="J741" s="78"/>
      <c r="K741" s="38"/>
      <c r="L741" s="35"/>
      <c r="M741" s="453"/>
      <c r="N741" s="37"/>
      <c r="O741" s="37"/>
      <c r="P741" s="37"/>
      <c r="Q741" s="37"/>
      <c r="R741" s="37"/>
      <c r="S741" s="37"/>
      <c r="T741" s="37"/>
      <c r="U741" s="37"/>
      <c r="V741" s="37"/>
      <c r="W741" s="37"/>
      <c r="X741" s="37"/>
      <c r="Y741" s="37"/>
      <c r="Z741" s="37"/>
      <c r="AA741" s="37"/>
    </row>
    <row r="742" spans="1:27">
      <c r="A742" s="37"/>
      <c r="B742" s="37"/>
      <c r="C742" s="37"/>
      <c r="D742" s="37"/>
      <c r="E742" s="37"/>
      <c r="F742" s="36"/>
      <c r="G742" s="37"/>
      <c r="H742" s="37"/>
      <c r="I742" s="78"/>
      <c r="J742" s="78"/>
      <c r="K742" s="38"/>
      <c r="L742" s="35"/>
      <c r="M742" s="453"/>
      <c r="N742" s="37"/>
      <c r="O742" s="37"/>
      <c r="P742" s="37"/>
      <c r="Q742" s="37"/>
      <c r="R742" s="37"/>
      <c r="S742" s="37"/>
      <c r="T742" s="37"/>
      <c r="U742" s="37"/>
      <c r="V742" s="37"/>
      <c r="W742" s="37"/>
      <c r="X742" s="37"/>
      <c r="Y742" s="37"/>
      <c r="Z742" s="37"/>
      <c r="AA742" s="37"/>
    </row>
    <row r="743" spans="1:27">
      <c r="A743" s="37"/>
      <c r="B743" s="37"/>
      <c r="C743" s="37"/>
      <c r="D743" s="37"/>
      <c r="E743" s="37"/>
      <c r="F743" s="36"/>
      <c r="G743" s="37"/>
      <c r="H743" s="37"/>
      <c r="I743" s="78"/>
      <c r="J743" s="78"/>
      <c r="K743" s="38"/>
      <c r="L743" s="35"/>
      <c r="M743" s="453"/>
      <c r="N743" s="37"/>
      <c r="O743" s="37"/>
      <c r="P743" s="37"/>
      <c r="Q743" s="37"/>
      <c r="R743" s="37"/>
      <c r="S743" s="37"/>
      <c r="T743" s="37"/>
      <c r="U743" s="37"/>
      <c r="V743" s="37"/>
      <c r="W743" s="37"/>
      <c r="X743" s="37"/>
      <c r="Y743" s="37"/>
      <c r="Z743" s="37"/>
      <c r="AA743" s="37"/>
    </row>
    <row r="744" spans="1:27">
      <c r="A744" s="37"/>
      <c r="B744" s="37"/>
      <c r="C744" s="37"/>
      <c r="D744" s="37"/>
      <c r="E744" s="37"/>
      <c r="F744" s="36"/>
      <c r="G744" s="37"/>
      <c r="H744" s="37"/>
      <c r="I744" s="78"/>
      <c r="J744" s="78"/>
      <c r="K744" s="38"/>
      <c r="L744" s="35"/>
      <c r="M744" s="453"/>
      <c r="N744" s="37"/>
      <c r="O744" s="37"/>
      <c r="P744" s="37"/>
      <c r="Q744" s="37"/>
      <c r="R744" s="37"/>
      <c r="S744" s="37"/>
      <c r="T744" s="37"/>
      <c r="U744" s="37"/>
      <c r="V744" s="37"/>
      <c r="W744" s="37"/>
      <c r="X744" s="37"/>
      <c r="Y744" s="37"/>
      <c r="Z744" s="37"/>
      <c r="AA744" s="37"/>
    </row>
    <row r="745" spans="1:27">
      <c r="A745" s="37"/>
      <c r="B745" s="37"/>
      <c r="C745" s="37"/>
      <c r="D745" s="37"/>
      <c r="E745" s="37"/>
      <c r="F745" s="36"/>
      <c r="G745" s="37"/>
      <c r="H745" s="37"/>
      <c r="I745" s="78"/>
      <c r="J745" s="78"/>
      <c r="K745" s="38"/>
      <c r="L745" s="35"/>
      <c r="M745" s="453"/>
      <c r="N745" s="37"/>
      <c r="O745" s="37"/>
      <c r="P745" s="37"/>
      <c r="Q745" s="37"/>
      <c r="R745" s="37"/>
      <c r="S745" s="37"/>
      <c r="T745" s="37"/>
      <c r="U745" s="37"/>
      <c r="V745" s="37"/>
      <c r="W745" s="37"/>
      <c r="X745" s="37"/>
      <c r="Y745" s="37"/>
      <c r="Z745" s="37"/>
      <c r="AA745" s="37"/>
    </row>
    <row r="746" spans="1:27">
      <c r="A746" s="37"/>
      <c r="B746" s="37"/>
      <c r="C746" s="37"/>
      <c r="D746" s="37"/>
      <c r="E746" s="37"/>
      <c r="F746" s="36"/>
      <c r="G746" s="37"/>
      <c r="H746" s="37"/>
      <c r="I746" s="78"/>
      <c r="J746" s="78"/>
      <c r="K746" s="38"/>
      <c r="L746" s="35"/>
      <c r="M746" s="453"/>
      <c r="N746" s="37"/>
      <c r="O746" s="37"/>
      <c r="P746" s="37"/>
      <c r="Q746" s="37"/>
      <c r="R746" s="37"/>
      <c r="S746" s="37"/>
      <c r="T746" s="37"/>
      <c r="U746" s="37"/>
      <c r="V746" s="37"/>
      <c r="W746" s="37"/>
      <c r="X746" s="37"/>
      <c r="Y746" s="37"/>
      <c r="Z746" s="37"/>
      <c r="AA746" s="37"/>
    </row>
    <row r="747" spans="1:27">
      <c r="A747" s="37"/>
      <c r="B747" s="37"/>
      <c r="C747" s="37"/>
      <c r="D747" s="37"/>
      <c r="E747" s="37"/>
      <c r="F747" s="36"/>
      <c r="G747" s="37"/>
      <c r="H747" s="37"/>
      <c r="I747" s="78"/>
      <c r="J747" s="78"/>
      <c r="K747" s="38"/>
      <c r="L747" s="35"/>
      <c r="M747" s="453"/>
      <c r="N747" s="37"/>
      <c r="O747" s="37"/>
      <c r="P747" s="37"/>
      <c r="Q747" s="37"/>
      <c r="R747" s="37"/>
      <c r="S747" s="37"/>
      <c r="T747" s="37"/>
      <c r="U747" s="37"/>
      <c r="V747" s="37"/>
      <c r="W747" s="37"/>
      <c r="X747" s="37"/>
      <c r="Y747" s="37"/>
      <c r="Z747" s="37"/>
      <c r="AA747" s="37"/>
    </row>
    <row r="748" spans="1:27">
      <c r="A748" s="37"/>
      <c r="B748" s="37"/>
      <c r="C748" s="37"/>
      <c r="D748" s="37"/>
      <c r="E748" s="37"/>
      <c r="F748" s="36"/>
      <c r="G748" s="37"/>
      <c r="H748" s="37"/>
      <c r="I748" s="78"/>
      <c r="J748" s="78"/>
      <c r="K748" s="38"/>
      <c r="L748" s="35"/>
      <c r="M748" s="453"/>
      <c r="N748" s="37"/>
      <c r="O748" s="37"/>
      <c r="P748" s="37"/>
      <c r="Q748" s="37"/>
      <c r="R748" s="37"/>
      <c r="S748" s="37"/>
      <c r="T748" s="37"/>
      <c r="U748" s="37"/>
      <c r="V748" s="37"/>
      <c r="W748" s="37"/>
      <c r="X748" s="37"/>
      <c r="Y748" s="37"/>
      <c r="Z748" s="37"/>
      <c r="AA748" s="37"/>
    </row>
    <row r="749" spans="1:27">
      <c r="A749" s="37"/>
      <c r="B749" s="37"/>
      <c r="C749" s="37"/>
      <c r="D749" s="37"/>
      <c r="E749" s="37"/>
      <c r="F749" s="36"/>
      <c r="G749" s="37"/>
      <c r="H749" s="37"/>
      <c r="I749" s="78"/>
      <c r="J749" s="78"/>
      <c r="K749" s="38"/>
      <c r="L749" s="35"/>
      <c r="M749" s="453"/>
      <c r="N749" s="37"/>
      <c r="O749" s="37"/>
      <c r="P749" s="37"/>
      <c r="Q749" s="37"/>
      <c r="R749" s="37"/>
      <c r="S749" s="37"/>
      <c r="T749" s="37"/>
      <c r="U749" s="37"/>
      <c r="V749" s="37"/>
      <c r="W749" s="37"/>
      <c r="X749" s="37"/>
      <c r="Y749" s="37"/>
      <c r="Z749" s="37"/>
      <c r="AA749" s="37"/>
    </row>
    <row r="750" spans="1:27">
      <c r="A750" s="37"/>
      <c r="B750" s="37"/>
      <c r="C750" s="37"/>
      <c r="D750" s="37"/>
      <c r="E750" s="37"/>
      <c r="F750" s="36"/>
      <c r="G750" s="37"/>
      <c r="H750" s="37"/>
      <c r="I750" s="78"/>
      <c r="J750" s="78"/>
      <c r="K750" s="38"/>
      <c r="L750" s="35"/>
      <c r="M750" s="453"/>
      <c r="N750" s="37"/>
      <c r="O750" s="37"/>
      <c r="P750" s="37"/>
      <c r="Q750" s="37"/>
      <c r="R750" s="37"/>
      <c r="S750" s="37"/>
      <c r="T750" s="37"/>
      <c r="U750" s="37"/>
      <c r="V750" s="37"/>
      <c r="W750" s="37"/>
      <c r="X750" s="37"/>
      <c r="Y750" s="37"/>
      <c r="Z750" s="37"/>
      <c r="AA750" s="37"/>
    </row>
    <row r="751" spans="1:27">
      <c r="A751" s="37"/>
      <c r="B751" s="37"/>
      <c r="C751" s="37"/>
      <c r="D751" s="37"/>
      <c r="E751" s="37"/>
      <c r="F751" s="36"/>
      <c r="G751" s="37"/>
      <c r="H751" s="37"/>
      <c r="I751" s="78"/>
      <c r="J751" s="78"/>
      <c r="K751" s="38"/>
      <c r="L751" s="35"/>
      <c r="M751" s="453"/>
      <c r="N751" s="37"/>
      <c r="O751" s="37"/>
      <c r="P751" s="37"/>
      <c r="Q751" s="37"/>
      <c r="R751" s="37"/>
      <c r="S751" s="37"/>
      <c r="T751" s="37"/>
      <c r="U751" s="37"/>
      <c r="V751" s="37"/>
      <c r="W751" s="37"/>
      <c r="X751" s="37"/>
      <c r="Y751" s="37"/>
      <c r="Z751" s="37"/>
      <c r="AA751" s="37"/>
    </row>
    <row r="752" spans="1:27">
      <c r="A752" s="37"/>
      <c r="B752" s="37"/>
      <c r="C752" s="37"/>
      <c r="D752" s="37"/>
      <c r="E752" s="37"/>
      <c r="F752" s="36"/>
      <c r="G752" s="37"/>
      <c r="H752" s="37"/>
      <c r="I752" s="78"/>
      <c r="J752" s="78"/>
      <c r="K752" s="38"/>
      <c r="L752" s="35"/>
      <c r="M752" s="453"/>
      <c r="N752" s="37"/>
      <c r="O752" s="37"/>
      <c r="P752" s="37"/>
      <c r="Q752" s="37"/>
      <c r="R752" s="37"/>
      <c r="S752" s="37"/>
      <c r="T752" s="37"/>
      <c r="U752" s="37"/>
      <c r="V752" s="37"/>
      <c r="W752" s="37"/>
      <c r="X752" s="37"/>
      <c r="Y752" s="37"/>
      <c r="Z752" s="37"/>
      <c r="AA752" s="37"/>
    </row>
    <row r="753" spans="1:27">
      <c r="A753" s="37"/>
      <c r="B753" s="37"/>
      <c r="C753" s="37"/>
      <c r="D753" s="37"/>
      <c r="E753" s="37"/>
      <c r="F753" s="36"/>
      <c r="G753" s="37"/>
      <c r="H753" s="37"/>
      <c r="I753" s="78"/>
      <c r="J753" s="78"/>
      <c r="K753" s="38"/>
      <c r="L753" s="35"/>
      <c r="M753" s="453"/>
      <c r="N753" s="37"/>
      <c r="O753" s="37"/>
      <c r="P753" s="37"/>
      <c r="Q753" s="37"/>
      <c r="R753" s="37"/>
      <c r="S753" s="37"/>
      <c r="T753" s="37"/>
      <c r="U753" s="37"/>
      <c r="V753" s="37"/>
      <c r="W753" s="37"/>
      <c r="X753" s="37"/>
      <c r="Y753" s="37"/>
      <c r="Z753" s="37"/>
      <c r="AA753" s="37"/>
    </row>
    <row r="754" spans="1:27">
      <c r="A754" s="37"/>
      <c r="B754" s="37"/>
      <c r="C754" s="37"/>
      <c r="D754" s="37"/>
      <c r="E754" s="37"/>
      <c r="F754" s="36"/>
      <c r="G754" s="37"/>
      <c r="H754" s="37"/>
      <c r="I754" s="78"/>
      <c r="J754" s="78"/>
      <c r="K754" s="38"/>
      <c r="L754" s="35"/>
      <c r="M754" s="453"/>
      <c r="N754" s="37"/>
      <c r="O754" s="37"/>
      <c r="P754" s="37"/>
      <c r="Q754" s="37"/>
      <c r="R754" s="37"/>
      <c r="S754" s="37"/>
      <c r="T754" s="37"/>
      <c r="U754" s="37"/>
      <c r="V754" s="37"/>
      <c r="W754" s="37"/>
      <c r="X754" s="37"/>
      <c r="Y754" s="37"/>
      <c r="Z754" s="37"/>
      <c r="AA754" s="37"/>
    </row>
    <row r="755" spans="1:27">
      <c r="A755" s="37"/>
      <c r="B755" s="37"/>
      <c r="C755" s="37"/>
      <c r="D755" s="37"/>
      <c r="E755" s="37"/>
      <c r="F755" s="36"/>
      <c r="G755" s="37"/>
      <c r="H755" s="37"/>
      <c r="I755" s="78"/>
      <c r="J755" s="78"/>
      <c r="K755" s="38"/>
      <c r="L755" s="35"/>
      <c r="M755" s="453"/>
      <c r="N755" s="37"/>
      <c r="O755" s="37"/>
      <c r="P755" s="37"/>
      <c r="Q755" s="37"/>
      <c r="R755" s="37"/>
      <c r="S755" s="37"/>
      <c r="T755" s="37"/>
      <c r="U755" s="37"/>
      <c r="V755" s="37"/>
      <c r="W755" s="37"/>
      <c r="X755" s="37"/>
      <c r="Y755" s="37"/>
      <c r="Z755" s="37"/>
      <c r="AA755" s="37"/>
    </row>
    <row r="756" spans="1:27">
      <c r="A756" s="37"/>
      <c r="B756" s="37"/>
      <c r="C756" s="37"/>
      <c r="D756" s="37"/>
      <c r="E756" s="37"/>
      <c r="F756" s="36"/>
      <c r="G756" s="37"/>
      <c r="H756" s="37"/>
      <c r="I756" s="78"/>
      <c r="J756" s="78"/>
      <c r="K756" s="38"/>
      <c r="L756" s="35"/>
      <c r="M756" s="453"/>
      <c r="N756" s="37"/>
      <c r="O756" s="37"/>
      <c r="P756" s="37"/>
      <c r="Q756" s="37"/>
      <c r="R756" s="37"/>
      <c r="S756" s="37"/>
      <c r="T756" s="37"/>
      <c r="U756" s="37"/>
      <c r="V756" s="37"/>
      <c r="W756" s="37"/>
      <c r="X756" s="37"/>
      <c r="Y756" s="37"/>
      <c r="Z756" s="37"/>
      <c r="AA756" s="37"/>
    </row>
    <row r="757" spans="1:27">
      <c r="A757" s="37"/>
      <c r="B757" s="37"/>
      <c r="C757" s="37"/>
      <c r="D757" s="37"/>
      <c r="E757" s="37"/>
      <c r="F757" s="36"/>
      <c r="G757" s="37"/>
      <c r="H757" s="37"/>
      <c r="I757" s="78"/>
      <c r="J757" s="78"/>
      <c r="K757" s="38"/>
      <c r="L757" s="35"/>
      <c r="M757" s="453"/>
      <c r="N757" s="37"/>
      <c r="O757" s="37"/>
      <c r="P757" s="37"/>
      <c r="Q757" s="37"/>
      <c r="R757" s="37"/>
      <c r="S757" s="37"/>
      <c r="T757" s="37"/>
      <c r="U757" s="37"/>
      <c r="V757" s="37"/>
      <c r="W757" s="37"/>
      <c r="X757" s="37"/>
      <c r="Y757" s="37"/>
      <c r="Z757" s="37"/>
      <c r="AA757" s="37"/>
    </row>
    <row r="758" spans="1:27">
      <c r="A758" s="37"/>
      <c r="B758" s="37"/>
      <c r="C758" s="37"/>
      <c r="D758" s="37"/>
      <c r="E758" s="37"/>
      <c r="F758" s="36"/>
      <c r="G758" s="37"/>
      <c r="H758" s="37"/>
      <c r="I758" s="78"/>
      <c r="J758" s="78"/>
      <c r="K758" s="38"/>
      <c r="L758" s="35"/>
      <c r="M758" s="453"/>
      <c r="N758" s="37"/>
      <c r="O758" s="37"/>
      <c r="P758" s="37"/>
      <c r="Q758" s="37"/>
      <c r="R758" s="37"/>
      <c r="S758" s="37"/>
      <c r="T758" s="37"/>
      <c r="U758" s="37"/>
      <c r="V758" s="37"/>
      <c r="W758" s="37"/>
      <c r="X758" s="37"/>
      <c r="Y758" s="37"/>
      <c r="Z758" s="37"/>
      <c r="AA758" s="37"/>
    </row>
    <row r="759" spans="1:27">
      <c r="A759" s="37"/>
      <c r="B759" s="37"/>
      <c r="C759" s="37"/>
      <c r="D759" s="37"/>
      <c r="E759" s="37"/>
      <c r="F759" s="36"/>
      <c r="G759" s="37"/>
      <c r="H759" s="37"/>
      <c r="I759" s="78"/>
      <c r="J759" s="78"/>
      <c r="K759" s="38"/>
      <c r="L759" s="35"/>
      <c r="M759" s="453"/>
      <c r="N759" s="37"/>
      <c r="O759" s="37"/>
      <c r="P759" s="37"/>
      <c r="Q759" s="37"/>
      <c r="R759" s="37"/>
      <c r="S759" s="37"/>
      <c r="T759" s="37"/>
      <c r="U759" s="37"/>
      <c r="V759" s="37"/>
      <c r="W759" s="37"/>
      <c r="X759" s="37"/>
      <c r="Y759" s="37"/>
      <c r="Z759" s="37"/>
      <c r="AA759" s="37"/>
    </row>
    <row r="760" spans="1:27">
      <c r="A760" s="37"/>
      <c r="B760" s="37"/>
      <c r="C760" s="37"/>
      <c r="D760" s="37"/>
      <c r="E760" s="37"/>
      <c r="F760" s="36"/>
      <c r="G760" s="37"/>
      <c r="H760" s="37"/>
      <c r="I760" s="78"/>
      <c r="J760" s="78"/>
      <c r="K760" s="38"/>
      <c r="L760" s="35"/>
      <c r="M760" s="453"/>
      <c r="N760" s="37"/>
      <c r="O760" s="37"/>
      <c r="P760" s="37"/>
      <c r="Q760" s="37"/>
      <c r="R760" s="37"/>
      <c r="S760" s="37"/>
      <c r="T760" s="37"/>
      <c r="U760" s="37"/>
      <c r="V760" s="37"/>
      <c r="W760" s="37"/>
      <c r="X760" s="37"/>
      <c r="Y760" s="37"/>
      <c r="Z760" s="37"/>
      <c r="AA760" s="37"/>
    </row>
    <row r="761" spans="1:27">
      <c r="A761" s="37"/>
      <c r="B761" s="37"/>
      <c r="C761" s="37"/>
      <c r="D761" s="37"/>
      <c r="E761" s="37"/>
      <c r="F761" s="36"/>
      <c r="G761" s="37"/>
      <c r="H761" s="37"/>
      <c r="I761" s="78"/>
      <c r="J761" s="78"/>
      <c r="K761" s="38"/>
      <c r="L761" s="35"/>
      <c r="M761" s="453"/>
      <c r="N761" s="37"/>
      <c r="O761" s="37"/>
      <c r="P761" s="37"/>
      <c r="Q761" s="37"/>
      <c r="R761" s="37"/>
      <c r="S761" s="37"/>
      <c r="T761" s="37"/>
      <c r="U761" s="37"/>
      <c r="V761" s="37"/>
      <c r="W761" s="37"/>
      <c r="X761" s="37"/>
      <c r="Y761" s="37"/>
      <c r="Z761" s="37"/>
      <c r="AA761" s="37"/>
    </row>
    <row r="762" spans="1:27">
      <c r="A762" s="37"/>
      <c r="B762" s="37"/>
      <c r="C762" s="37"/>
      <c r="D762" s="37"/>
      <c r="E762" s="37"/>
      <c r="F762" s="36"/>
      <c r="G762" s="37"/>
      <c r="H762" s="37"/>
      <c r="I762" s="78"/>
      <c r="J762" s="78"/>
      <c r="K762" s="38"/>
      <c r="L762" s="35"/>
      <c r="M762" s="453"/>
      <c r="N762" s="37"/>
      <c r="O762" s="37"/>
      <c r="P762" s="37"/>
      <c r="Q762" s="37"/>
      <c r="R762" s="37"/>
      <c r="S762" s="37"/>
      <c r="T762" s="37"/>
      <c r="U762" s="37"/>
      <c r="V762" s="37"/>
      <c r="W762" s="37"/>
      <c r="X762" s="37"/>
      <c r="Y762" s="37"/>
      <c r="Z762" s="37"/>
      <c r="AA762" s="37"/>
    </row>
    <row r="763" spans="1:27">
      <c r="A763" s="37"/>
      <c r="B763" s="37"/>
      <c r="C763" s="37"/>
      <c r="D763" s="37"/>
      <c r="E763" s="37"/>
      <c r="F763" s="36"/>
      <c r="G763" s="37"/>
      <c r="H763" s="37"/>
      <c r="I763" s="78"/>
      <c r="J763" s="78"/>
      <c r="K763" s="38"/>
      <c r="L763" s="35"/>
      <c r="M763" s="453"/>
      <c r="N763" s="37"/>
      <c r="O763" s="37"/>
      <c r="P763" s="37"/>
      <c r="Q763" s="37"/>
      <c r="R763" s="37"/>
      <c r="S763" s="37"/>
      <c r="T763" s="37"/>
      <c r="U763" s="37"/>
      <c r="V763" s="37"/>
      <c r="W763" s="37"/>
      <c r="X763" s="37"/>
      <c r="Y763" s="37"/>
      <c r="Z763" s="37"/>
      <c r="AA763" s="37"/>
    </row>
    <row r="764" spans="1:27">
      <c r="A764" s="37"/>
      <c r="B764" s="37"/>
      <c r="C764" s="37"/>
      <c r="D764" s="37"/>
      <c r="E764" s="37"/>
      <c r="F764" s="36"/>
      <c r="G764" s="37"/>
      <c r="H764" s="37"/>
      <c r="I764" s="78"/>
      <c r="J764" s="78"/>
      <c r="K764" s="38"/>
      <c r="L764" s="35"/>
      <c r="M764" s="453"/>
      <c r="N764" s="37"/>
      <c r="O764" s="37"/>
      <c r="P764" s="37"/>
      <c r="Q764" s="37"/>
      <c r="R764" s="37"/>
      <c r="S764" s="37"/>
      <c r="T764" s="37"/>
      <c r="U764" s="37"/>
      <c r="V764" s="37"/>
      <c r="W764" s="37"/>
      <c r="X764" s="37"/>
      <c r="Y764" s="37"/>
      <c r="Z764" s="37"/>
      <c r="AA764" s="37"/>
    </row>
    <row r="765" spans="1:27">
      <c r="A765" s="37"/>
      <c r="B765" s="37"/>
      <c r="C765" s="37"/>
      <c r="D765" s="37"/>
      <c r="E765" s="37"/>
      <c r="F765" s="36"/>
      <c r="G765" s="37"/>
      <c r="H765" s="37"/>
      <c r="I765" s="78"/>
      <c r="J765" s="78"/>
      <c r="K765" s="38"/>
      <c r="L765" s="35"/>
      <c r="M765" s="453"/>
      <c r="N765" s="37"/>
      <c r="O765" s="37"/>
      <c r="P765" s="37"/>
      <c r="Q765" s="37"/>
      <c r="R765" s="37"/>
      <c r="S765" s="37"/>
      <c r="T765" s="37"/>
      <c r="U765" s="37"/>
      <c r="V765" s="37"/>
      <c r="W765" s="37"/>
      <c r="X765" s="37"/>
      <c r="Y765" s="37"/>
      <c r="Z765" s="37"/>
      <c r="AA765" s="37"/>
    </row>
    <row r="766" spans="1:27">
      <c r="A766" s="37"/>
      <c r="B766" s="37"/>
      <c r="C766" s="37"/>
      <c r="D766" s="37"/>
      <c r="E766" s="37"/>
      <c r="F766" s="36"/>
      <c r="G766" s="37"/>
      <c r="H766" s="37"/>
      <c r="I766" s="78"/>
      <c r="J766" s="78"/>
      <c r="K766" s="38"/>
      <c r="L766" s="35"/>
      <c r="M766" s="453"/>
      <c r="N766" s="37"/>
      <c r="O766" s="37"/>
      <c r="P766" s="37"/>
      <c r="Q766" s="37"/>
      <c r="R766" s="37"/>
      <c r="S766" s="37"/>
      <c r="T766" s="37"/>
      <c r="U766" s="37"/>
      <c r="V766" s="37"/>
      <c r="W766" s="37"/>
      <c r="X766" s="37"/>
      <c r="Y766" s="37"/>
      <c r="Z766" s="37"/>
      <c r="AA766" s="37"/>
    </row>
    <row r="767" spans="1:27">
      <c r="A767" s="37"/>
      <c r="B767" s="37"/>
      <c r="C767" s="37"/>
      <c r="D767" s="37"/>
      <c r="E767" s="37"/>
      <c r="F767" s="36"/>
      <c r="G767" s="37"/>
      <c r="H767" s="37"/>
      <c r="I767" s="78"/>
      <c r="J767" s="78"/>
      <c r="K767" s="38"/>
      <c r="L767" s="35"/>
      <c r="M767" s="453"/>
      <c r="N767" s="37"/>
      <c r="O767" s="37"/>
      <c r="P767" s="37"/>
      <c r="Q767" s="37"/>
      <c r="R767" s="37"/>
      <c r="S767" s="37"/>
      <c r="T767" s="37"/>
      <c r="U767" s="37"/>
      <c r="V767" s="37"/>
      <c r="W767" s="37"/>
      <c r="X767" s="37"/>
      <c r="Y767" s="37"/>
      <c r="Z767" s="37"/>
      <c r="AA767" s="37"/>
    </row>
    <row r="768" spans="1:27">
      <c r="A768" s="37"/>
      <c r="B768" s="37"/>
      <c r="C768" s="37"/>
      <c r="D768" s="37"/>
      <c r="E768" s="37"/>
      <c r="F768" s="36"/>
      <c r="G768" s="37"/>
      <c r="H768" s="37"/>
      <c r="I768" s="78"/>
      <c r="J768" s="78"/>
      <c r="K768" s="38"/>
      <c r="L768" s="35"/>
      <c r="M768" s="453"/>
      <c r="N768" s="37"/>
      <c r="O768" s="37"/>
      <c r="P768" s="37"/>
      <c r="Q768" s="37"/>
      <c r="R768" s="37"/>
      <c r="S768" s="37"/>
      <c r="T768" s="37"/>
      <c r="U768" s="37"/>
      <c r="V768" s="37"/>
      <c r="W768" s="37"/>
      <c r="X768" s="37"/>
      <c r="Y768" s="37"/>
      <c r="Z768" s="37"/>
      <c r="AA768" s="37"/>
    </row>
    <row r="769" spans="1:27">
      <c r="A769" s="37"/>
      <c r="B769" s="37"/>
      <c r="C769" s="37"/>
      <c r="D769" s="37"/>
      <c r="E769" s="37"/>
      <c r="F769" s="36"/>
      <c r="G769" s="37"/>
      <c r="H769" s="37"/>
      <c r="I769" s="78"/>
      <c r="J769" s="78"/>
      <c r="K769" s="38"/>
      <c r="L769" s="35"/>
      <c r="M769" s="453"/>
      <c r="N769" s="37"/>
      <c r="O769" s="37"/>
      <c r="P769" s="37"/>
      <c r="Q769" s="37"/>
      <c r="R769" s="37"/>
      <c r="S769" s="37"/>
      <c r="T769" s="37"/>
      <c r="U769" s="37"/>
      <c r="V769" s="37"/>
      <c r="W769" s="37"/>
      <c r="X769" s="37"/>
      <c r="Y769" s="37"/>
      <c r="Z769" s="37"/>
      <c r="AA769" s="37"/>
    </row>
    <row r="770" spans="1:27">
      <c r="A770" s="37"/>
      <c r="B770" s="37"/>
      <c r="C770" s="37"/>
      <c r="D770" s="37"/>
      <c r="E770" s="37"/>
      <c r="F770" s="36"/>
      <c r="G770" s="37"/>
      <c r="H770" s="37"/>
      <c r="I770" s="78"/>
      <c r="J770" s="78"/>
      <c r="K770" s="38"/>
      <c r="L770" s="35"/>
      <c r="M770" s="453"/>
      <c r="N770" s="37"/>
      <c r="O770" s="37"/>
      <c r="P770" s="37"/>
      <c r="Q770" s="37"/>
      <c r="R770" s="37"/>
      <c r="S770" s="37"/>
      <c r="T770" s="37"/>
      <c r="U770" s="37"/>
      <c r="V770" s="37"/>
      <c r="W770" s="37"/>
      <c r="X770" s="37"/>
      <c r="Y770" s="37"/>
      <c r="Z770" s="37"/>
      <c r="AA770" s="37"/>
    </row>
    <row r="771" spans="1:27">
      <c r="A771" s="37"/>
      <c r="B771" s="37"/>
      <c r="C771" s="37"/>
      <c r="D771" s="37"/>
      <c r="E771" s="37"/>
      <c r="F771" s="36"/>
      <c r="G771" s="37"/>
      <c r="H771" s="37"/>
      <c r="I771" s="78"/>
      <c r="J771" s="78"/>
      <c r="K771" s="38"/>
      <c r="L771" s="35"/>
      <c r="M771" s="453"/>
      <c r="N771" s="37"/>
      <c r="O771" s="37"/>
      <c r="P771" s="37"/>
      <c r="Q771" s="37"/>
      <c r="R771" s="37"/>
      <c r="S771" s="37"/>
      <c r="T771" s="37"/>
      <c r="U771" s="37"/>
      <c r="V771" s="37"/>
      <c r="W771" s="37"/>
      <c r="X771" s="37"/>
      <c r="Y771" s="37"/>
      <c r="Z771" s="37"/>
      <c r="AA771" s="37"/>
    </row>
    <row r="772" spans="1:27">
      <c r="A772" s="37"/>
      <c r="B772" s="37"/>
      <c r="C772" s="37"/>
      <c r="D772" s="37"/>
      <c r="E772" s="37"/>
      <c r="F772" s="36"/>
      <c r="G772" s="37"/>
      <c r="H772" s="37"/>
      <c r="I772" s="78"/>
      <c r="J772" s="78"/>
      <c r="K772" s="38"/>
      <c r="L772" s="35"/>
      <c r="M772" s="453"/>
      <c r="N772" s="37"/>
      <c r="O772" s="37"/>
      <c r="P772" s="37"/>
      <c r="Q772" s="37"/>
      <c r="R772" s="37"/>
      <c r="S772" s="37"/>
      <c r="T772" s="37"/>
      <c r="U772" s="37"/>
      <c r="V772" s="37"/>
      <c r="W772" s="37"/>
      <c r="X772" s="37"/>
      <c r="Y772" s="37"/>
      <c r="Z772" s="37"/>
      <c r="AA772" s="37"/>
    </row>
    <row r="773" spans="1:27">
      <c r="A773" s="37"/>
      <c r="B773" s="37"/>
      <c r="C773" s="37"/>
      <c r="D773" s="37"/>
      <c r="E773" s="37"/>
      <c r="F773" s="36"/>
      <c r="G773" s="37"/>
      <c r="H773" s="37"/>
      <c r="I773" s="78"/>
      <c r="J773" s="78"/>
      <c r="K773" s="38"/>
      <c r="L773" s="35"/>
      <c r="M773" s="453"/>
      <c r="N773" s="37"/>
      <c r="O773" s="37"/>
      <c r="P773" s="37"/>
      <c r="Q773" s="37"/>
      <c r="R773" s="37"/>
      <c r="S773" s="37"/>
      <c r="T773" s="37"/>
      <c r="U773" s="37"/>
      <c r="V773" s="37"/>
      <c r="W773" s="37"/>
      <c r="X773" s="37"/>
      <c r="Y773" s="37"/>
      <c r="Z773" s="37"/>
      <c r="AA773" s="37"/>
    </row>
    <row r="774" spans="1:27">
      <c r="A774" s="37"/>
      <c r="B774" s="37"/>
      <c r="C774" s="37"/>
      <c r="D774" s="37"/>
      <c r="E774" s="37"/>
      <c r="F774" s="36"/>
      <c r="G774" s="37"/>
      <c r="H774" s="37"/>
      <c r="I774" s="78"/>
      <c r="J774" s="78"/>
      <c r="K774" s="38"/>
      <c r="L774" s="35"/>
      <c r="M774" s="453"/>
      <c r="N774" s="37"/>
      <c r="O774" s="37"/>
      <c r="P774" s="37"/>
      <c r="Q774" s="37"/>
      <c r="R774" s="37"/>
      <c r="S774" s="37"/>
      <c r="T774" s="37"/>
      <c r="U774" s="37"/>
      <c r="V774" s="37"/>
      <c r="W774" s="37"/>
      <c r="X774" s="37"/>
      <c r="Y774" s="37"/>
      <c r="Z774" s="37"/>
      <c r="AA774" s="37"/>
    </row>
    <row r="775" spans="1:27">
      <c r="A775" s="37"/>
      <c r="B775" s="37"/>
      <c r="C775" s="37"/>
      <c r="D775" s="37"/>
      <c r="E775" s="37"/>
      <c r="F775" s="36"/>
      <c r="G775" s="37"/>
      <c r="H775" s="37"/>
      <c r="I775" s="78"/>
      <c r="J775" s="78"/>
      <c r="K775" s="38"/>
      <c r="L775" s="35"/>
      <c r="M775" s="453"/>
      <c r="N775" s="37"/>
      <c r="O775" s="37"/>
      <c r="P775" s="37"/>
      <c r="Q775" s="37"/>
      <c r="R775" s="37"/>
      <c r="S775" s="37"/>
      <c r="T775" s="37"/>
      <c r="U775" s="37"/>
      <c r="V775" s="37"/>
      <c r="W775" s="37"/>
      <c r="X775" s="37"/>
      <c r="Y775" s="37"/>
      <c r="Z775" s="37"/>
      <c r="AA775" s="37"/>
    </row>
    <row r="776" spans="1:27">
      <c r="A776" s="37"/>
      <c r="B776" s="37"/>
      <c r="C776" s="37"/>
      <c r="D776" s="37"/>
      <c r="E776" s="37"/>
      <c r="F776" s="36"/>
      <c r="G776" s="37"/>
      <c r="H776" s="37"/>
      <c r="I776" s="78"/>
      <c r="J776" s="78"/>
      <c r="K776" s="38"/>
      <c r="L776" s="35"/>
      <c r="M776" s="453"/>
      <c r="N776" s="37"/>
      <c r="O776" s="37"/>
      <c r="P776" s="37"/>
      <c r="Q776" s="37"/>
      <c r="R776" s="37"/>
      <c r="S776" s="37"/>
      <c r="T776" s="37"/>
      <c r="U776" s="37"/>
      <c r="V776" s="37"/>
      <c r="W776" s="37"/>
      <c r="X776" s="37"/>
      <c r="Y776" s="37"/>
      <c r="Z776" s="37"/>
      <c r="AA776" s="37"/>
    </row>
    <row r="777" spans="1:27">
      <c r="A777" s="37"/>
      <c r="B777" s="37"/>
      <c r="C777" s="37"/>
      <c r="D777" s="37"/>
      <c r="E777" s="37"/>
      <c r="F777" s="36"/>
      <c r="G777" s="37"/>
      <c r="H777" s="37"/>
      <c r="I777" s="78"/>
      <c r="J777" s="78"/>
      <c r="K777" s="38"/>
      <c r="L777" s="35"/>
      <c r="M777" s="453"/>
      <c r="N777" s="37"/>
      <c r="O777" s="37"/>
      <c r="P777" s="37"/>
      <c r="Q777" s="37"/>
      <c r="R777" s="37"/>
      <c r="S777" s="37"/>
      <c r="T777" s="37"/>
      <c r="U777" s="37"/>
      <c r="V777" s="37"/>
      <c r="W777" s="37"/>
      <c r="X777" s="37"/>
      <c r="Y777" s="37"/>
      <c r="Z777" s="37"/>
      <c r="AA777" s="37"/>
    </row>
    <row r="778" spans="1:27">
      <c r="A778" s="37"/>
      <c r="B778" s="37"/>
      <c r="C778" s="37"/>
      <c r="D778" s="37"/>
      <c r="E778" s="37"/>
      <c r="F778" s="36"/>
      <c r="G778" s="37"/>
      <c r="H778" s="37"/>
      <c r="I778" s="78"/>
      <c r="J778" s="78"/>
      <c r="K778" s="38"/>
      <c r="L778" s="35"/>
      <c r="M778" s="453"/>
      <c r="N778" s="37"/>
      <c r="O778" s="37"/>
      <c r="P778" s="37"/>
      <c r="Q778" s="37"/>
      <c r="R778" s="37"/>
      <c r="S778" s="37"/>
      <c r="T778" s="37"/>
      <c r="U778" s="37"/>
      <c r="V778" s="37"/>
      <c r="W778" s="37"/>
      <c r="X778" s="37"/>
      <c r="Y778" s="37"/>
      <c r="Z778" s="37"/>
      <c r="AA778" s="37"/>
    </row>
    <row r="779" spans="1:27">
      <c r="A779" s="37"/>
      <c r="B779" s="37"/>
      <c r="C779" s="37"/>
      <c r="D779" s="37"/>
      <c r="E779" s="37"/>
      <c r="F779" s="36"/>
      <c r="G779" s="37"/>
      <c r="H779" s="37"/>
      <c r="I779" s="78"/>
      <c r="J779" s="78"/>
      <c r="K779" s="38"/>
      <c r="L779" s="35"/>
      <c r="M779" s="453"/>
      <c r="N779" s="37"/>
      <c r="O779" s="37"/>
      <c r="P779" s="37"/>
      <c r="Q779" s="37"/>
      <c r="R779" s="37"/>
      <c r="S779" s="37"/>
      <c r="T779" s="37"/>
      <c r="U779" s="37"/>
      <c r="V779" s="37"/>
      <c r="W779" s="37"/>
      <c r="X779" s="37"/>
      <c r="Y779" s="37"/>
      <c r="Z779" s="37"/>
      <c r="AA779" s="37"/>
    </row>
    <row r="780" spans="1:27">
      <c r="A780" s="37"/>
      <c r="B780" s="37"/>
      <c r="C780" s="37"/>
      <c r="D780" s="37"/>
      <c r="E780" s="37"/>
      <c r="F780" s="36"/>
      <c r="G780" s="37"/>
      <c r="H780" s="37"/>
      <c r="I780" s="78"/>
      <c r="J780" s="78"/>
      <c r="K780" s="38"/>
      <c r="L780" s="35"/>
      <c r="M780" s="453"/>
      <c r="N780" s="37"/>
      <c r="O780" s="37"/>
      <c r="P780" s="37"/>
      <c r="Q780" s="37"/>
      <c r="R780" s="37"/>
      <c r="S780" s="37"/>
      <c r="T780" s="37"/>
      <c r="U780" s="37"/>
      <c r="V780" s="37"/>
      <c r="W780" s="37"/>
      <c r="X780" s="37"/>
      <c r="Y780" s="37"/>
      <c r="Z780" s="37"/>
      <c r="AA780" s="37"/>
    </row>
    <row r="781" spans="1:27">
      <c r="A781" s="37"/>
      <c r="B781" s="37"/>
      <c r="C781" s="37"/>
      <c r="D781" s="37"/>
      <c r="E781" s="37"/>
      <c r="F781" s="36"/>
      <c r="G781" s="37"/>
      <c r="H781" s="37"/>
      <c r="I781" s="78"/>
      <c r="J781" s="78"/>
      <c r="K781" s="38"/>
      <c r="L781" s="35"/>
      <c r="M781" s="453"/>
      <c r="N781" s="37"/>
      <c r="O781" s="37"/>
      <c r="P781" s="37"/>
      <c r="Q781" s="37"/>
      <c r="R781" s="37"/>
      <c r="S781" s="37"/>
      <c r="T781" s="37"/>
      <c r="U781" s="37"/>
      <c r="V781" s="37"/>
      <c r="W781" s="37"/>
      <c r="X781" s="37"/>
      <c r="Y781" s="37"/>
      <c r="Z781" s="37"/>
      <c r="AA781" s="37"/>
    </row>
    <row r="782" spans="1:27">
      <c r="A782" s="37"/>
      <c r="B782" s="37"/>
      <c r="C782" s="37"/>
      <c r="D782" s="37"/>
      <c r="E782" s="37"/>
      <c r="F782" s="36"/>
      <c r="G782" s="37"/>
      <c r="H782" s="37"/>
      <c r="I782" s="78"/>
      <c r="J782" s="78"/>
      <c r="K782" s="38"/>
      <c r="L782" s="35"/>
      <c r="M782" s="453"/>
      <c r="N782" s="37"/>
      <c r="O782" s="37"/>
      <c r="P782" s="37"/>
      <c r="Q782" s="37"/>
      <c r="R782" s="37"/>
      <c r="S782" s="37"/>
      <c r="T782" s="37"/>
      <c r="U782" s="37"/>
      <c r="V782" s="37"/>
      <c r="W782" s="37"/>
      <c r="X782" s="37"/>
      <c r="Y782" s="37"/>
      <c r="Z782" s="37"/>
      <c r="AA782" s="37"/>
    </row>
    <row r="783" spans="1:27">
      <c r="A783" s="37"/>
      <c r="B783" s="37"/>
      <c r="C783" s="37"/>
      <c r="D783" s="37"/>
      <c r="E783" s="37"/>
      <c r="F783" s="36"/>
      <c r="G783" s="37"/>
      <c r="H783" s="37"/>
      <c r="I783" s="78"/>
      <c r="J783" s="78"/>
      <c r="K783" s="38"/>
      <c r="L783" s="35"/>
      <c r="M783" s="453"/>
      <c r="N783" s="37"/>
      <c r="O783" s="37"/>
      <c r="P783" s="37"/>
      <c r="Q783" s="37"/>
      <c r="R783" s="37"/>
      <c r="S783" s="37"/>
      <c r="T783" s="37"/>
      <c r="U783" s="37"/>
      <c r="V783" s="37"/>
      <c r="W783" s="37"/>
      <c r="X783" s="37"/>
      <c r="Y783" s="37"/>
      <c r="Z783" s="37"/>
      <c r="AA783" s="37"/>
    </row>
    <row r="784" spans="1:27">
      <c r="A784" s="37"/>
      <c r="B784" s="37"/>
      <c r="C784" s="37"/>
      <c r="D784" s="37"/>
      <c r="E784" s="37"/>
      <c r="F784" s="36"/>
      <c r="G784" s="37"/>
      <c r="H784" s="37"/>
      <c r="I784" s="78"/>
      <c r="J784" s="78"/>
      <c r="K784" s="38"/>
      <c r="L784" s="35"/>
      <c r="M784" s="453"/>
      <c r="N784" s="37"/>
      <c r="O784" s="37"/>
      <c r="P784" s="37"/>
      <c r="Q784" s="37"/>
      <c r="R784" s="37"/>
      <c r="S784" s="37"/>
      <c r="T784" s="37"/>
      <c r="U784" s="37"/>
      <c r="V784" s="37"/>
      <c r="W784" s="37"/>
      <c r="X784" s="37"/>
      <c r="Y784" s="37"/>
      <c r="Z784" s="37"/>
      <c r="AA784" s="37"/>
    </row>
    <row r="785" spans="1:27">
      <c r="A785" s="37"/>
      <c r="B785" s="37"/>
      <c r="C785" s="37"/>
      <c r="D785" s="37"/>
      <c r="E785" s="37"/>
      <c r="F785" s="36"/>
      <c r="G785" s="37"/>
      <c r="H785" s="37"/>
      <c r="I785" s="78"/>
      <c r="J785" s="78"/>
      <c r="K785" s="38"/>
      <c r="L785" s="35"/>
      <c r="M785" s="453"/>
      <c r="N785" s="37"/>
      <c r="O785" s="37"/>
      <c r="P785" s="37"/>
      <c r="Q785" s="37"/>
      <c r="R785" s="37"/>
      <c r="S785" s="37"/>
      <c r="T785" s="37"/>
      <c r="U785" s="37"/>
      <c r="V785" s="37"/>
      <c r="W785" s="37"/>
      <c r="X785" s="37"/>
      <c r="Y785" s="37"/>
      <c r="Z785" s="37"/>
      <c r="AA785" s="37"/>
    </row>
    <row r="786" spans="1:27">
      <c r="A786" s="37"/>
      <c r="B786" s="37"/>
      <c r="C786" s="37"/>
      <c r="D786" s="37"/>
      <c r="E786" s="37"/>
      <c r="F786" s="36"/>
      <c r="G786" s="37"/>
      <c r="H786" s="37"/>
      <c r="I786" s="78"/>
      <c r="J786" s="78"/>
      <c r="K786" s="38"/>
      <c r="L786" s="35"/>
      <c r="M786" s="453"/>
      <c r="N786" s="37"/>
      <c r="O786" s="37"/>
      <c r="P786" s="37"/>
      <c r="Q786" s="37"/>
      <c r="R786" s="37"/>
      <c r="S786" s="37"/>
      <c r="T786" s="37"/>
      <c r="U786" s="37"/>
      <c r="V786" s="37"/>
      <c r="W786" s="37"/>
      <c r="X786" s="37"/>
      <c r="Y786" s="37"/>
      <c r="Z786" s="37"/>
      <c r="AA786" s="37"/>
    </row>
    <row r="787" spans="1:27">
      <c r="A787" s="37"/>
      <c r="B787" s="37"/>
      <c r="C787" s="37"/>
      <c r="D787" s="37"/>
      <c r="E787" s="37"/>
      <c r="F787" s="36"/>
      <c r="G787" s="37"/>
      <c r="H787" s="37"/>
      <c r="I787" s="78"/>
      <c r="J787" s="78"/>
      <c r="K787" s="38"/>
      <c r="L787" s="35"/>
      <c r="M787" s="453"/>
      <c r="N787" s="37"/>
      <c r="O787" s="37"/>
      <c r="P787" s="37"/>
      <c r="Q787" s="37"/>
      <c r="R787" s="37"/>
      <c r="S787" s="37"/>
      <c r="T787" s="37"/>
      <c r="U787" s="37"/>
      <c r="V787" s="37"/>
      <c r="W787" s="37"/>
      <c r="X787" s="37"/>
      <c r="Y787" s="37"/>
      <c r="Z787" s="37"/>
      <c r="AA787" s="37"/>
    </row>
    <row r="788" spans="1:27">
      <c r="A788" s="37"/>
      <c r="B788" s="37"/>
      <c r="C788" s="37"/>
      <c r="D788" s="37"/>
      <c r="E788" s="37"/>
      <c r="F788" s="36"/>
      <c r="G788" s="37"/>
      <c r="H788" s="37"/>
      <c r="I788" s="78"/>
      <c r="J788" s="78"/>
      <c r="K788" s="38"/>
      <c r="L788" s="35"/>
      <c r="M788" s="453"/>
      <c r="N788" s="37"/>
      <c r="O788" s="37"/>
      <c r="P788" s="37"/>
      <c r="Q788" s="37"/>
      <c r="R788" s="37"/>
      <c r="S788" s="37"/>
      <c r="T788" s="37"/>
      <c r="U788" s="37"/>
      <c r="V788" s="37"/>
      <c r="W788" s="37"/>
      <c r="X788" s="37"/>
      <c r="Y788" s="37"/>
      <c r="Z788" s="37"/>
      <c r="AA788" s="37"/>
    </row>
    <row r="789" spans="1:27">
      <c r="A789" s="37"/>
      <c r="B789" s="37"/>
      <c r="C789" s="37"/>
      <c r="D789" s="37"/>
      <c r="E789" s="37"/>
      <c r="F789" s="36"/>
      <c r="G789" s="37"/>
      <c r="H789" s="37"/>
      <c r="I789" s="78"/>
      <c r="J789" s="78"/>
      <c r="K789" s="38"/>
      <c r="L789" s="35"/>
      <c r="M789" s="453"/>
      <c r="N789" s="37"/>
      <c r="O789" s="37"/>
      <c r="P789" s="37"/>
      <c r="Q789" s="37"/>
      <c r="R789" s="37"/>
      <c r="S789" s="37"/>
      <c r="T789" s="37"/>
      <c r="U789" s="37"/>
      <c r="V789" s="37"/>
      <c r="W789" s="37"/>
      <c r="X789" s="37"/>
      <c r="Y789" s="37"/>
      <c r="Z789" s="37"/>
      <c r="AA789" s="37"/>
    </row>
    <row r="790" spans="1:27">
      <c r="A790" s="37"/>
      <c r="B790" s="37"/>
      <c r="C790" s="37"/>
      <c r="D790" s="37"/>
      <c r="E790" s="37"/>
      <c r="F790" s="36"/>
      <c r="G790" s="37"/>
      <c r="H790" s="37"/>
      <c r="I790" s="78"/>
      <c r="J790" s="78"/>
      <c r="K790" s="38"/>
      <c r="L790" s="35"/>
      <c r="M790" s="453"/>
      <c r="N790" s="37"/>
      <c r="O790" s="37"/>
      <c r="P790" s="37"/>
      <c r="Q790" s="37"/>
      <c r="R790" s="37"/>
      <c r="S790" s="37"/>
      <c r="T790" s="37"/>
      <c r="U790" s="37"/>
      <c r="V790" s="37"/>
      <c r="W790" s="37"/>
      <c r="X790" s="37"/>
      <c r="Y790" s="37"/>
      <c r="Z790" s="37"/>
      <c r="AA790" s="37"/>
    </row>
    <row r="791" spans="1:27">
      <c r="A791" s="37"/>
      <c r="B791" s="37"/>
      <c r="C791" s="37"/>
      <c r="D791" s="37"/>
      <c r="E791" s="37"/>
      <c r="F791" s="36"/>
      <c r="G791" s="37"/>
      <c r="H791" s="37"/>
      <c r="I791" s="78"/>
      <c r="J791" s="78"/>
      <c r="K791" s="38"/>
      <c r="L791" s="35"/>
      <c r="M791" s="453"/>
      <c r="N791" s="37"/>
      <c r="O791" s="37"/>
      <c r="P791" s="37"/>
      <c r="Q791" s="37"/>
      <c r="R791" s="37"/>
      <c r="S791" s="37"/>
      <c r="T791" s="37"/>
      <c r="U791" s="37"/>
      <c r="V791" s="37"/>
      <c r="W791" s="37"/>
      <c r="X791" s="37"/>
      <c r="Y791" s="37"/>
      <c r="Z791" s="37"/>
      <c r="AA791" s="37"/>
    </row>
    <row r="792" spans="1:27">
      <c r="A792" s="37"/>
      <c r="B792" s="37"/>
      <c r="C792" s="37"/>
      <c r="D792" s="37"/>
      <c r="E792" s="37"/>
      <c r="F792" s="36"/>
      <c r="G792" s="37"/>
      <c r="H792" s="37"/>
      <c r="I792" s="78"/>
      <c r="J792" s="78"/>
      <c r="K792" s="38"/>
      <c r="L792" s="35"/>
      <c r="M792" s="453"/>
      <c r="N792" s="37"/>
      <c r="O792" s="37"/>
      <c r="P792" s="37"/>
      <c r="Q792" s="37"/>
      <c r="R792" s="37"/>
      <c r="S792" s="37"/>
      <c r="T792" s="37"/>
      <c r="U792" s="37"/>
      <c r="V792" s="37"/>
      <c r="W792" s="37"/>
      <c r="X792" s="37"/>
      <c r="Y792" s="37"/>
      <c r="Z792" s="37"/>
      <c r="AA792" s="37"/>
    </row>
    <row r="793" spans="1:27">
      <c r="A793" s="37"/>
      <c r="B793" s="37"/>
      <c r="C793" s="37"/>
      <c r="D793" s="37"/>
      <c r="E793" s="37"/>
      <c r="F793" s="36"/>
      <c r="G793" s="37"/>
      <c r="H793" s="37"/>
      <c r="I793" s="78"/>
      <c r="J793" s="78"/>
      <c r="K793" s="38"/>
      <c r="L793" s="35"/>
      <c r="M793" s="453"/>
      <c r="N793" s="37"/>
      <c r="O793" s="37"/>
      <c r="P793" s="37"/>
      <c r="Q793" s="37"/>
      <c r="R793" s="37"/>
      <c r="S793" s="37"/>
      <c r="T793" s="37"/>
      <c r="U793" s="37"/>
      <c r="V793" s="37"/>
      <c r="W793" s="37"/>
      <c r="X793" s="37"/>
      <c r="Y793" s="37"/>
      <c r="Z793" s="37"/>
      <c r="AA793" s="37"/>
    </row>
    <row r="794" spans="1:27">
      <c r="A794" s="37"/>
      <c r="B794" s="37"/>
      <c r="C794" s="37"/>
      <c r="D794" s="37"/>
      <c r="E794" s="37"/>
      <c r="F794" s="36"/>
      <c r="G794" s="37"/>
      <c r="H794" s="37"/>
      <c r="I794" s="78"/>
      <c r="J794" s="78"/>
      <c r="K794" s="38"/>
      <c r="L794" s="35"/>
      <c r="M794" s="453"/>
      <c r="N794" s="37"/>
      <c r="O794" s="37"/>
      <c r="P794" s="37"/>
      <c r="Q794" s="37"/>
      <c r="R794" s="37"/>
      <c r="S794" s="37"/>
      <c r="T794" s="37"/>
      <c r="U794" s="37"/>
      <c r="V794" s="37"/>
      <c r="W794" s="37"/>
      <c r="X794" s="37"/>
      <c r="Y794" s="37"/>
      <c r="Z794" s="37"/>
      <c r="AA794" s="37"/>
    </row>
    <row r="795" spans="1:27">
      <c r="A795" s="37"/>
      <c r="B795" s="37"/>
      <c r="C795" s="37"/>
      <c r="D795" s="37"/>
      <c r="E795" s="37"/>
      <c r="F795" s="36"/>
      <c r="G795" s="37"/>
      <c r="H795" s="37"/>
      <c r="I795" s="78"/>
      <c r="J795" s="78"/>
      <c r="K795" s="38"/>
      <c r="L795" s="35"/>
      <c r="M795" s="453"/>
      <c r="N795" s="37"/>
      <c r="O795" s="37"/>
      <c r="P795" s="37"/>
      <c r="Q795" s="37"/>
      <c r="R795" s="37"/>
      <c r="S795" s="37"/>
      <c r="T795" s="37"/>
      <c r="U795" s="37"/>
      <c r="V795" s="37"/>
      <c r="W795" s="37"/>
      <c r="X795" s="37"/>
      <c r="Y795" s="37"/>
      <c r="Z795" s="37"/>
      <c r="AA795" s="37"/>
    </row>
    <row r="796" spans="1:27">
      <c r="A796" s="37"/>
      <c r="B796" s="37"/>
      <c r="C796" s="37"/>
      <c r="D796" s="37"/>
      <c r="E796" s="37"/>
      <c r="F796" s="36"/>
      <c r="G796" s="37"/>
      <c r="H796" s="37"/>
      <c r="I796" s="78"/>
      <c r="J796" s="78"/>
      <c r="K796" s="38"/>
      <c r="L796" s="35"/>
      <c r="M796" s="453"/>
      <c r="N796" s="37"/>
      <c r="O796" s="37"/>
      <c r="P796" s="37"/>
      <c r="Q796" s="37"/>
      <c r="R796" s="37"/>
      <c r="S796" s="37"/>
      <c r="T796" s="37"/>
      <c r="U796" s="37"/>
      <c r="V796" s="37"/>
      <c r="W796" s="37"/>
      <c r="X796" s="37"/>
      <c r="Y796" s="37"/>
      <c r="Z796" s="37"/>
      <c r="AA796" s="37"/>
    </row>
    <row r="797" spans="1:27">
      <c r="A797" s="37"/>
      <c r="B797" s="37"/>
      <c r="C797" s="37"/>
      <c r="D797" s="37"/>
      <c r="E797" s="37"/>
      <c r="F797" s="36"/>
      <c r="G797" s="37"/>
      <c r="H797" s="37"/>
      <c r="I797" s="78"/>
      <c r="J797" s="78"/>
      <c r="K797" s="38"/>
      <c r="L797" s="35"/>
      <c r="M797" s="453"/>
      <c r="N797" s="37"/>
      <c r="O797" s="37"/>
      <c r="P797" s="37"/>
      <c r="Q797" s="37"/>
      <c r="R797" s="37"/>
      <c r="S797" s="37"/>
      <c r="T797" s="37"/>
      <c r="U797" s="37"/>
      <c r="V797" s="37"/>
      <c r="W797" s="37"/>
      <c r="X797" s="37"/>
      <c r="Y797" s="37"/>
      <c r="Z797" s="37"/>
      <c r="AA797" s="37"/>
    </row>
    <row r="798" spans="1:27">
      <c r="A798" s="37"/>
      <c r="B798" s="37"/>
      <c r="C798" s="37"/>
      <c r="D798" s="37"/>
      <c r="E798" s="37"/>
      <c r="F798" s="36"/>
      <c r="G798" s="37"/>
      <c r="H798" s="37"/>
      <c r="I798" s="78"/>
      <c r="J798" s="78"/>
      <c r="K798" s="38"/>
      <c r="L798" s="35"/>
      <c r="M798" s="453"/>
      <c r="N798" s="37"/>
      <c r="O798" s="37"/>
      <c r="P798" s="37"/>
      <c r="Q798" s="37"/>
      <c r="R798" s="37"/>
      <c r="S798" s="37"/>
      <c r="T798" s="37"/>
      <c r="U798" s="37"/>
      <c r="V798" s="37"/>
      <c r="W798" s="37"/>
      <c r="X798" s="37"/>
      <c r="Y798" s="37"/>
      <c r="Z798" s="37"/>
      <c r="AA798" s="37"/>
    </row>
    <row r="799" spans="1:27">
      <c r="A799" s="37"/>
      <c r="B799" s="37"/>
      <c r="C799" s="37"/>
      <c r="D799" s="37"/>
      <c r="E799" s="37"/>
      <c r="F799" s="36"/>
      <c r="G799" s="37"/>
      <c r="H799" s="37"/>
      <c r="I799" s="78"/>
      <c r="J799" s="78"/>
      <c r="K799" s="38"/>
      <c r="L799" s="35"/>
      <c r="M799" s="453"/>
      <c r="N799" s="37"/>
      <c r="O799" s="37"/>
      <c r="P799" s="37"/>
      <c r="Q799" s="37"/>
      <c r="R799" s="37"/>
      <c r="S799" s="37"/>
      <c r="T799" s="37"/>
      <c r="U799" s="37"/>
      <c r="V799" s="37"/>
      <c r="W799" s="37"/>
      <c r="X799" s="37"/>
      <c r="Y799" s="37"/>
      <c r="Z799" s="37"/>
      <c r="AA799" s="37"/>
    </row>
    <row r="800" spans="1:27" ht="15" customHeight="1">
      <c r="H800" s="75"/>
      <c r="I800" s="76"/>
      <c r="J800" s="76"/>
      <c r="K800" s="77"/>
      <c r="L800" s="94"/>
      <c r="M800" s="454"/>
    </row>
    <row r="1048552" ht="13.5" customHeight="1"/>
    <row r="1048553" ht="15" hidden="1" customHeight="1"/>
    <row r="1048554" ht="15" hidden="1" customHeight="1"/>
    <row r="1048555" ht="15" hidden="1" customHeight="1"/>
    <row r="1048556" ht="15" hidden="1" customHeight="1"/>
    <row r="1048557" ht="15" hidden="1" customHeight="1"/>
    <row r="1048558" ht="15" hidden="1" customHeight="1"/>
    <row r="1048559" ht="15" hidden="1" customHeight="1"/>
    <row r="1048560" ht="15" hidden="1" customHeight="1"/>
  </sheetData>
  <autoFilter ref="A11:M343" xr:uid="{00000000-0009-0000-0000-000001000000}">
    <filterColumn colId="11">
      <filters>
        <filter val="По согласованию Заказчика"/>
      </filters>
    </filterColumn>
  </autoFilter>
  <mergeCells count="5">
    <mergeCell ref="L10:M10"/>
    <mergeCell ref="B1:G1"/>
    <mergeCell ref="A10:G10"/>
    <mergeCell ref="H10:I10"/>
    <mergeCell ref="J10:K10"/>
  </mergeCells>
  <conditionalFormatting sqref="H15">
    <cfRule type="cellIs" dxfId="731" priority="5694" operator="equal">
      <formula>$E$2</formula>
    </cfRule>
    <cfRule type="cellIs" dxfId="730" priority="5695" operator="equal">
      <formula>$D$2</formula>
    </cfRule>
    <cfRule type="cellIs" dxfId="729" priority="5696" operator="equal">
      <formula>$C$2</formula>
    </cfRule>
    <cfRule type="cellIs" dxfId="728" priority="5693" operator="equal">
      <formula>$F$2</formula>
    </cfRule>
  </conditionalFormatting>
  <conditionalFormatting sqref="H17:H18">
    <cfRule type="cellIs" dxfId="727" priority="5688" operator="equal">
      <formula>$C$2</formula>
    </cfRule>
    <cfRule type="cellIs" dxfId="726" priority="5685" operator="equal">
      <formula>$F$2</formula>
    </cfRule>
    <cfRule type="cellIs" dxfId="725" priority="5686" operator="equal">
      <formula>$E$2</formula>
    </cfRule>
    <cfRule type="cellIs" dxfId="724" priority="5687" operator="equal">
      <formula>$D$2</formula>
    </cfRule>
  </conditionalFormatting>
  <conditionalFormatting sqref="H20">
    <cfRule type="cellIs" dxfId="723" priority="5681" operator="equal">
      <formula>$F$2</formula>
    </cfRule>
    <cfRule type="cellIs" dxfId="722" priority="5682" operator="equal">
      <formula>$E$2</formula>
    </cfRule>
    <cfRule type="cellIs" dxfId="721" priority="5683" operator="equal">
      <formula>$D$2</formula>
    </cfRule>
    <cfRule type="cellIs" dxfId="720" priority="5684" operator="equal">
      <formula>$C$2</formula>
    </cfRule>
  </conditionalFormatting>
  <conditionalFormatting sqref="H22">
    <cfRule type="cellIs" dxfId="719" priority="5679" operator="equal">
      <formula>$D$2</formula>
    </cfRule>
    <cfRule type="cellIs" dxfId="718" priority="5680" operator="equal">
      <formula>$C$2</formula>
    </cfRule>
    <cfRule type="cellIs" dxfId="717" priority="5677" operator="equal">
      <formula>$F$2</formula>
    </cfRule>
    <cfRule type="cellIs" dxfId="716" priority="5678" operator="equal">
      <formula>$E$2</formula>
    </cfRule>
  </conditionalFormatting>
  <conditionalFormatting sqref="H25">
    <cfRule type="cellIs" dxfId="715" priority="5676" operator="equal">
      <formula>$C$2</formula>
    </cfRule>
    <cfRule type="cellIs" dxfId="714" priority="5675" operator="equal">
      <formula>$D$2</formula>
    </cfRule>
    <cfRule type="cellIs" dxfId="713" priority="5674" operator="equal">
      <formula>$E$2</formula>
    </cfRule>
    <cfRule type="cellIs" dxfId="712" priority="5673" operator="equal">
      <formula>$F$2</formula>
    </cfRule>
  </conditionalFormatting>
  <conditionalFormatting sqref="H27:H31">
    <cfRule type="cellIs" dxfId="711" priority="5662" operator="equal">
      <formula>$E$2</formula>
    </cfRule>
    <cfRule type="cellIs" dxfId="710" priority="5661" operator="equal">
      <formula>$F$2</formula>
    </cfRule>
    <cfRule type="cellIs" dxfId="709" priority="5663" operator="equal">
      <formula>$D$2</formula>
    </cfRule>
    <cfRule type="cellIs" dxfId="708" priority="5664" operator="equal">
      <formula>$C$2</formula>
    </cfRule>
  </conditionalFormatting>
  <conditionalFormatting sqref="H33">
    <cfRule type="cellIs" dxfId="707" priority="4548" operator="equal">
      <formula>$C$2</formula>
    </cfRule>
    <cfRule type="cellIs" dxfId="706" priority="4545" operator="equal">
      <formula>$F$2</formula>
    </cfRule>
    <cfRule type="cellIs" dxfId="705" priority="4546" operator="equal">
      <formula>$E$2</formula>
    </cfRule>
    <cfRule type="cellIs" dxfId="704" priority="4547" operator="equal">
      <formula>$D$2</formula>
    </cfRule>
  </conditionalFormatting>
  <conditionalFormatting sqref="H35">
    <cfRule type="cellIs" dxfId="703" priority="4533" operator="equal">
      <formula>$F$2</formula>
    </cfRule>
    <cfRule type="cellIs" dxfId="702" priority="4534" operator="equal">
      <formula>$E$2</formula>
    </cfRule>
    <cfRule type="cellIs" dxfId="701" priority="4535" operator="equal">
      <formula>$D$2</formula>
    </cfRule>
    <cfRule type="cellIs" dxfId="700" priority="4536" operator="equal">
      <formula>$C$2</formula>
    </cfRule>
  </conditionalFormatting>
  <conditionalFormatting sqref="H38:H47">
    <cfRule type="cellIs" dxfId="699" priority="4413" operator="equal">
      <formula>$F$2</formula>
    </cfRule>
    <cfRule type="cellIs" dxfId="698" priority="4414" operator="equal">
      <formula>$E$2</formula>
    </cfRule>
    <cfRule type="cellIs" dxfId="697" priority="4415" operator="equal">
      <formula>$D$2</formula>
    </cfRule>
    <cfRule type="cellIs" dxfId="696" priority="4416" operator="equal">
      <formula>$C$2</formula>
    </cfRule>
  </conditionalFormatting>
  <conditionalFormatting sqref="H50">
    <cfRule type="cellIs" dxfId="695" priority="4403" operator="equal">
      <formula>$D$2</formula>
    </cfRule>
    <cfRule type="cellIs" dxfId="694" priority="4404" operator="equal">
      <formula>$C$2</formula>
    </cfRule>
    <cfRule type="cellIs" dxfId="693" priority="4402" operator="equal">
      <formula>$E$2</formula>
    </cfRule>
    <cfRule type="cellIs" dxfId="692" priority="4401" operator="equal">
      <formula>$F$2</formula>
    </cfRule>
  </conditionalFormatting>
  <conditionalFormatting sqref="H52:H54">
    <cfRule type="cellIs" dxfId="691" priority="4365" operator="equal">
      <formula>$F$2</formula>
    </cfRule>
    <cfRule type="cellIs" dxfId="690" priority="4368" operator="equal">
      <formula>$C$2</formula>
    </cfRule>
    <cfRule type="cellIs" dxfId="689" priority="4367" operator="equal">
      <formula>$D$2</formula>
    </cfRule>
    <cfRule type="cellIs" dxfId="688" priority="4366" operator="equal">
      <formula>$E$2</formula>
    </cfRule>
  </conditionalFormatting>
  <conditionalFormatting sqref="H57:H61">
    <cfRule type="cellIs" dxfId="687" priority="4306" operator="equal">
      <formula>$E$2</formula>
    </cfRule>
    <cfRule type="cellIs" dxfId="686" priority="4308" operator="equal">
      <formula>$C$2</formula>
    </cfRule>
    <cfRule type="cellIs" dxfId="685" priority="4305" operator="equal">
      <formula>$F$2</formula>
    </cfRule>
    <cfRule type="cellIs" dxfId="684" priority="4307" operator="equal">
      <formula>$D$2</formula>
    </cfRule>
  </conditionalFormatting>
  <conditionalFormatting sqref="H63:H67">
    <cfRule type="cellIs" dxfId="683" priority="4248" operator="equal">
      <formula>$C$2</formula>
    </cfRule>
    <cfRule type="cellIs" dxfId="682" priority="4247" operator="equal">
      <formula>$D$2</formula>
    </cfRule>
    <cfRule type="cellIs" dxfId="681" priority="4246" operator="equal">
      <formula>$E$2</formula>
    </cfRule>
    <cfRule type="cellIs" dxfId="680" priority="4245" operator="equal">
      <formula>$F$2</formula>
    </cfRule>
  </conditionalFormatting>
  <conditionalFormatting sqref="H70:H82">
    <cfRule type="cellIs" dxfId="679" priority="4092" operator="equal">
      <formula>$C$2</formula>
    </cfRule>
    <cfRule type="cellIs" dxfId="678" priority="4091" operator="equal">
      <formula>$D$2</formula>
    </cfRule>
    <cfRule type="cellIs" dxfId="677" priority="4090" operator="equal">
      <formula>$E$2</formula>
    </cfRule>
    <cfRule type="cellIs" dxfId="676" priority="4089" operator="equal">
      <formula>$F$2</formula>
    </cfRule>
  </conditionalFormatting>
  <conditionalFormatting sqref="H85:H100">
    <cfRule type="cellIs" dxfId="675" priority="3900" operator="equal">
      <formula>$C$2</formula>
    </cfRule>
    <cfRule type="cellIs" dxfId="674" priority="3897" operator="equal">
      <formula>$F$2</formula>
    </cfRule>
    <cfRule type="cellIs" dxfId="673" priority="3898" operator="equal">
      <formula>$E$2</formula>
    </cfRule>
    <cfRule type="cellIs" dxfId="672" priority="3899" operator="equal">
      <formula>$D$2</formula>
    </cfRule>
  </conditionalFormatting>
  <conditionalFormatting sqref="H103:H112">
    <cfRule type="cellIs" dxfId="671" priority="3809" operator="equal">
      <formula>$F$2</formula>
    </cfRule>
    <cfRule type="cellIs" dxfId="670" priority="3810" operator="equal">
      <formula>$E$2</formula>
    </cfRule>
    <cfRule type="cellIs" dxfId="669" priority="3812" operator="equal">
      <formula>$C$2</formula>
    </cfRule>
    <cfRule type="cellIs" dxfId="668" priority="3811" operator="equal">
      <formula>$D$2</formula>
    </cfRule>
  </conditionalFormatting>
  <conditionalFormatting sqref="H114">
    <cfRule type="cellIs" dxfId="667" priority="3798" operator="equal">
      <formula>$E$2</formula>
    </cfRule>
    <cfRule type="cellIs" dxfId="666" priority="3799" operator="equal">
      <formula>$D$2</formula>
    </cfRule>
    <cfRule type="cellIs" dxfId="665" priority="3797" operator="equal">
      <formula>$F$2</formula>
    </cfRule>
    <cfRule type="cellIs" dxfId="664" priority="3800" operator="equal">
      <formula>$C$2</formula>
    </cfRule>
  </conditionalFormatting>
  <conditionalFormatting sqref="H117:H119">
    <cfRule type="cellIs" dxfId="663" priority="3788" operator="equal">
      <formula>$C$2</formula>
    </cfRule>
    <cfRule type="cellIs" dxfId="662" priority="3787" operator="equal">
      <formula>$D$2</formula>
    </cfRule>
    <cfRule type="cellIs" dxfId="661" priority="3785" operator="equal">
      <formula>$F$2</formula>
    </cfRule>
    <cfRule type="cellIs" dxfId="660" priority="3786" operator="equal">
      <formula>$E$2</formula>
    </cfRule>
  </conditionalFormatting>
  <conditionalFormatting sqref="H121:H125">
    <cfRule type="cellIs" dxfId="659" priority="3725" operator="equal">
      <formula>$F$2</formula>
    </cfRule>
    <cfRule type="cellIs" dxfId="658" priority="3726" operator="equal">
      <formula>$E$2</formula>
    </cfRule>
    <cfRule type="cellIs" dxfId="657" priority="3727" operator="equal">
      <formula>$D$2</formula>
    </cfRule>
    <cfRule type="cellIs" dxfId="656" priority="3728" operator="equal">
      <formula>$C$2</formula>
    </cfRule>
  </conditionalFormatting>
  <conditionalFormatting sqref="H127:H130">
    <cfRule type="cellIs" dxfId="655" priority="3680" operator="equal">
      <formula>$C$2</formula>
    </cfRule>
    <cfRule type="cellIs" dxfId="654" priority="3679" operator="equal">
      <formula>$D$2</formula>
    </cfRule>
    <cfRule type="cellIs" dxfId="653" priority="3678" operator="equal">
      <formula>$E$2</formula>
    </cfRule>
    <cfRule type="cellIs" dxfId="652" priority="3677" operator="equal">
      <formula>$F$2</formula>
    </cfRule>
  </conditionalFormatting>
  <conditionalFormatting sqref="H132">
    <cfRule type="cellIs" dxfId="651" priority="3667" operator="equal">
      <formula>$D$2</formula>
    </cfRule>
    <cfRule type="cellIs" dxfId="650" priority="3668" operator="equal">
      <formula>$C$2</formula>
    </cfRule>
    <cfRule type="cellIs" dxfId="649" priority="3666" operator="equal">
      <formula>$E$2</formula>
    </cfRule>
    <cfRule type="cellIs" dxfId="648" priority="3665" operator="equal">
      <formula>$F$2</formula>
    </cfRule>
  </conditionalFormatting>
  <conditionalFormatting sqref="H134:H137">
    <cfRule type="cellIs" dxfId="647" priority="3618" operator="equal">
      <formula>$E$2</formula>
    </cfRule>
    <cfRule type="cellIs" dxfId="646" priority="3619" operator="equal">
      <formula>$D$2</formula>
    </cfRule>
    <cfRule type="cellIs" dxfId="645" priority="3617" operator="equal">
      <formula>$F$2</formula>
    </cfRule>
    <cfRule type="cellIs" dxfId="644" priority="3620" operator="equal">
      <formula>$C$2</formula>
    </cfRule>
  </conditionalFormatting>
  <conditionalFormatting sqref="H139:H140">
    <cfRule type="cellIs" dxfId="643" priority="3593" operator="equal">
      <formula>$F$2</formula>
    </cfRule>
    <cfRule type="cellIs" dxfId="642" priority="3594" operator="equal">
      <formula>$E$2</formula>
    </cfRule>
    <cfRule type="cellIs" dxfId="641" priority="3595" operator="equal">
      <formula>$D$2</formula>
    </cfRule>
    <cfRule type="cellIs" dxfId="640" priority="3596" operator="equal">
      <formula>$C$2</formula>
    </cfRule>
  </conditionalFormatting>
  <conditionalFormatting sqref="H142:H145">
    <cfRule type="cellIs" dxfId="639" priority="3546" operator="equal">
      <formula>$E$2</formula>
    </cfRule>
    <cfRule type="cellIs" dxfId="638" priority="3548" operator="equal">
      <formula>$C$2</formula>
    </cfRule>
    <cfRule type="cellIs" dxfId="637" priority="3547" operator="equal">
      <formula>$D$2</formula>
    </cfRule>
    <cfRule type="cellIs" dxfId="636" priority="3545" operator="equal">
      <formula>$F$2</formula>
    </cfRule>
  </conditionalFormatting>
  <conditionalFormatting sqref="H148:H154">
    <cfRule type="cellIs" dxfId="635" priority="3463" operator="equal">
      <formula>$D$2</formula>
    </cfRule>
    <cfRule type="cellIs" dxfId="634" priority="3464" operator="equal">
      <formula>$C$2</formula>
    </cfRule>
    <cfRule type="cellIs" dxfId="633" priority="3462" operator="equal">
      <formula>$E$2</formula>
    </cfRule>
    <cfRule type="cellIs" dxfId="632" priority="3461" operator="equal">
      <formula>$F$2</formula>
    </cfRule>
  </conditionalFormatting>
  <conditionalFormatting sqref="H156:H158">
    <cfRule type="cellIs" dxfId="631" priority="3427" operator="equal">
      <formula>$D$2</formula>
    </cfRule>
    <cfRule type="cellIs" dxfId="630" priority="3426" operator="equal">
      <formula>$E$2</formula>
    </cfRule>
    <cfRule type="cellIs" dxfId="629" priority="3425" operator="equal">
      <formula>$F$2</formula>
    </cfRule>
    <cfRule type="cellIs" dxfId="628" priority="3428" operator="equal">
      <formula>$C$2</formula>
    </cfRule>
  </conditionalFormatting>
  <conditionalFormatting sqref="H160">
    <cfRule type="cellIs" dxfId="627" priority="3415" operator="equal">
      <formula>$D$2</formula>
    </cfRule>
    <cfRule type="cellIs" dxfId="626" priority="3414" operator="equal">
      <formula>$E$2</formula>
    </cfRule>
    <cfRule type="cellIs" dxfId="625" priority="3413" operator="equal">
      <formula>$F$2</formula>
    </cfRule>
    <cfRule type="cellIs" dxfId="624" priority="3416" operator="equal">
      <formula>$C$2</formula>
    </cfRule>
  </conditionalFormatting>
  <conditionalFormatting sqref="H162:H163">
    <cfRule type="cellIs" dxfId="623" priority="3389" operator="equal">
      <formula>$F$2</formula>
    </cfRule>
    <cfRule type="cellIs" dxfId="622" priority="3391" operator="equal">
      <formula>$D$2</formula>
    </cfRule>
    <cfRule type="cellIs" dxfId="621" priority="3390" operator="equal">
      <formula>$E$2</formula>
    </cfRule>
    <cfRule type="cellIs" dxfId="620" priority="3392" operator="equal">
      <formula>$C$2</formula>
    </cfRule>
  </conditionalFormatting>
  <conditionalFormatting sqref="H167">
    <cfRule type="cellIs" dxfId="619" priority="3380" operator="equal">
      <formula>$C$2</formula>
    </cfRule>
    <cfRule type="cellIs" dxfId="618" priority="3377" operator="equal">
      <formula>$F$2</formula>
    </cfRule>
    <cfRule type="cellIs" dxfId="617" priority="3378" operator="equal">
      <formula>$E$2</formula>
    </cfRule>
    <cfRule type="cellIs" dxfId="616" priority="3379" operator="equal">
      <formula>$D$2</formula>
    </cfRule>
  </conditionalFormatting>
  <conditionalFormatting sqref="H169:H170">
    <cfRule type="cellIs" dxfId="615" priority="60" operator="equal">
      <formula>$C$2</formula>
    </cfRule>
    <cfRule type="cellIs" dxfId="614" priority="59" operator="equal">
      <formula>$D$2</formula>
    </cfRule>
    <cfRule type="cellIs" dxfId="613" priority="58" operator="equal">
      <formula>$E$2</formula>
    </cfRule>
    <cfRule type="cellIs" dxfId="612" priority="57" operator="equal">
      <formula>$F$2</formula>
    </cfRule>
  </conditionalFormatting>
  <conditionalFormatting sqref="H173">
    <cfRule type="cellIs" dxfId="611" priority="3342" operator="equal">
      <formula>$E$2</formula>
    </cfRule>
    <cfRule type="cellIs" dxfId="610" priority="3341" operator="equal">
      <formula>$F$2</formula>
    </cfRule>
    <cfRule type="cellIs" dxfId="609" priority="3344" operator="equal">
      <formula>$C$2</formula>
    </cfRule>
    <cfRule type="cellIs" dxfId="608" priority="3343" operator="equal">
      <formula>$D$2</formula>
    </cfRule>
  </conditionalFormatting>
  <conditionalFormatting sqref="H176:H177">
    <cfRule type="cellIs" dxfId="607" priority="52" operator="equal">
      <formula>$C$2</formula>
    </cfRule>
    <cfRule type="cellIs" dxfId="606" priority="49" operator="equal">
      <formula>$F$2</formula>
    </cfRule>
    <cfRule type="cellIs" dxfId="605" priority="50" operator="equal">
      <formula>$E$2</formula>
    </cfRule>
    <cfRule type="cellIs" dxfId="604" priority="51" operator="equal">
      <formula>$D$2</formula>
    </cfRule>
  </conditionalFormatting>
  <conditionalFormatting sqref="H179">
    <cfRule type="cellIs" dxfId="603" priority="3305" operator="equal">
      <formula>$F$2</formula>
    </cfRule>
    <cfRule type="cellIs" dxfId="602" priority="3306" operator="equal">
      <formula>$E$2</formula>
    </cfRule>
    <cfRule type="cellIs" dxfId="601" priority="3308" operator="equal">
      <formula>$C$2</formula>
    </cfRule>
    <cfRule type="cellIs" dxfId="600" priority="3307" operator="equal">
      <formula>$D$2</formula>
    </cfRule>
  </conditionalFormatting>
  <conditionalFormatting sqref="H182">
    <cfRule type="cellIs" dxfId="599" priority="3293" operator="equal">
      <formula>$F$2</formula>
    </cfRule>
    <cfRule type="cellIs" dxfId="598" priority="3294" operator="equal">
      <formula>$E$2</formula>
    </cfRule>
    <cfRule type="cellIs" dxfId="597" priority="3295" operator="equal">
      <formula>$D$2</formula>
    </cfRule>
    <cfRule type="cellIs" dxfId="596" priority="3296" operator="equal">
      <formula>$C$2</formula>
    </cfRule>
  </conditionalFormatting>
  <conditionalFormatting sqref="H185">
    <cfRule type="cellIs" dxfId="595" priority="3282" operator="equal">
      <formula>$E$2</formula>
    </cfRule>
    <cfRule type="cellIs" dxfId="594" priority="3283" operator="equal">
      <formula>$D$2</formula>
    </cfRule>
    <cfRule type="cellIs" dxfId="593" priority="3284" operator="equal">
      <formula>$C$2</formula>
    </cfRule>
    <cfRule type="cellIs" dxfId="592" priority="3281" operator="equal">
      <formula>$F$2</formula>
    </cfRule>
  </conditionalFormatting>
  <conditionalFormatting sqref="H188:H189">
    <cfRule type="cellIs" dxfId="591" priority="31" operator="equal">
      <formula>$D$2</formula>
    </cfRule>
    <cfRule type="cellIs" dxfId="590" priority="30" operator="equal">
      <formula>$E$2</formula>
    </cfRule>
    <cfRule type="cellIs" dxfId="589" priority="29" operator="equal">
      <formula>$F$2</formula>
    </cfRule>
    <cfRule type="cellIs" dxfId="588" priority="32" operator="equal">
      <formula>$C$2</formula>
    </cfRule>
  </conditionalFormatting>
  <conditionalFormatting sqref="H192">
    <cfRule type="cellIs" dxfId="587" priority="389" operator="equal">
      <formula>$F$2</formula>
    </cfRule>
    <cfRule type="cellIs" dxfId="586" priority="390" operator="equal">
      <formula>$E$2</formula>
    </cfRule>
    <cfRule type="cellIs" dxfId="585" priority="391" operator="equal">
      <formula>$D$2</formula>
    </cfRule>
    <cfRule type="cellIs" dxfId="584" priority="392" operator="equal">
      <formula>$C$2</formula>
    </cfRule>
  </conditionalFormatting>
  <conditionalFormatting sqref="H195">
    <cfRule type="cellIs" dxfId="583" priority="3233" operator="equal">
      <formula>$F$2</formula>
    </cfRule>
    <cfRule type="cellIs" dxfId="582" priority="3234" operator="equal">
      <formula>$E$2</formula>
    </cfRule>
    <cfRule type="cellIs" dxfId="581" priority="3236" operator="equal">
      <formula>$C$2</formula>
    </cfRule>
    <cfRule type="cellIs" dxfId="580" priority="3235" operator="equal">
      <formula>$D$2</formula>
    </cfRule>
  </conditionalFormatting>
  <conditionalFormatting sqref="H197:H198">
    <cfRule type="cellIs" dxfId="579" priority="386" operator="equal">
      <formula>$E$2</formula>
    </cfRule>
    <cfRule type="cellIs" dxfId="578" priority="387" operator="equal">
      <formula>$D$2</formula>
    </cfRule>
    <cfRule type="cellIs" dxfId="577" priority="388" operator="equal">
      <formula>$C$2</formula>
    </cfRule>
    <cfRule type="cellIs" dxfId="576" priority="385" operator="equal">
      <formula>$F$2</formula>
    </cfRule>
  </conditionalFormatting>
  <conditionalFormatting sqref="H201:H202">
    <cfRule type="cellIs" dxfId="575" priority="3186" operator="equal">
      <formula>$E$2</formula>
    </cfRule>
    <cfRule type="cellIs" dxfId="574" priority="3187" operator="equal">
      <formula>$D$2</formula>
    </cfRule>
    <cfRule type="cellIs" dxfId="573" priority="3188" operator="equal">
      <formula>$C$2</formula>
    </cfRule>
    <cfRule type="cellIs" dxfId="572" priority="3185" operator="equal">
      <formula>$F$2</formula>
    </cfRule>
  </conditionalFormatting>
  <conditionalFormatting sqref="H205:H206">
    <cfRule type="cellIs" dxfId="571" priority="377" operator="equal">
      <formula>$F$2</formula>
    </cfRule>
    <cfRule type="cellIs" dxfId="570" priority="378" operator="equal">
      <formula>$E$2</formula>
    </cfRule>
    <cfRule type="cellIs" dxfId="569" priority="379" operator="equal">
      <formula>$D$2</formula>
    </cfRule>
    <cfRule type="cellIs" dxfId="568" priority="380" operator="equal">
      <formula>$C$2</formula>
    </cfRule>
  </conditionalFormatting>
  <conditionalFormatting sqref="H209">
    <cfRule type="cellIs" dxfId="567" priority="376" operator="equal">
      <formula>$C$2</formula>
    </cfRule>
    <cfRule type="cellIs" dxfId="566" priority="375" operator="equal">
      <formula>$D$2</formula>
    </cfRule>
    <cfRule type="cellIs" dxfId="565" priority="374" operator="equal">
      <formula>$E$2</formula>
    </cfRule>
    <cfRule type="cellIs" dxfId="564" priority="373" operator="equal">
      <formula>$F$2</formula>
    </cfRule>
  </conditionalFormatting>
  <conditionalFormatting sqref="H212:H214">
    <cfRule type="cellIs" dxfId="563" priority="17" operator="equal">
      <formula>$F$2</formula>
    </cfRule>
    <cfRule type="cellIs" dxfId="562" priority="18" operator="equal">
      <formula>$E$2</formula>
    </cfRule>
    <cfRule type="cellIs" dxfId="561" priority="19" operator="equal">
      <formula>$D$2</formula>
    </cfRule>
    <cfRule type="cellIs" dxfId="560" priority="20" operator="equal">
      <formula>$C$2</formula>
    </cfRule>
  </conditionalFormatting>
  <conditionalFormatting sqref="H217">
    <cfRule type="cellIs" dxfId="559" priority="10" operator="equal">
      <formula>$E$2</formula>
    </cfRule>
    <cfRule type="cellIs" dxfId="558" priority="11" operator="equal">
      <formula>$D$2</formula>
    </cfRule>
    <cfRule type="cellIs" dxfId="557" priority="12" operator="equal">
      <formula>$C$2</formula>
    </cfRule>
    <cfRule type="cellIs" dxfId="556" priority="9" operator="equal">
      <formula>$F$2</formula>
    </cfRule>
  </conditionalFormatting>
  <conditionalFormatting sqref="H220">
    <cfRule type="cellIs" dxfId="555" priority="3090" operator="equal">
      <formula>$E$2</formula>
    </cfRule>
    <cfRule type="cellIs" dxfId="554" priority="3089" operator="equal">
      <formula>$F$2</formula>
    </cfRule>
    <cfRule type="cellIs" dxfId="553" priority="3091" operator="equal">
      <formula>$D$2</formula>
    </cfRule>
    <cfRule type="cellIs" dxfId="552" priority="3092" operator="equal">
      <formula>$C$2</formula>
    </cfRule>
  </conditionalFormatting>
  <conditionalFormatting sqref="H223">
    <cfRule type="cellIs" dxfId="551" priority="3077" operator="equal">
      <formula>$F$2</formula>
    </cfRule>
    <cfRule type="cellIs" dxfId="550" priority="3078" operator="equal">
      <formula>$E$2</formula>
    </cfRule>
    <cfRule type="cellIs" dxfId="549" priority="3079" operator="equal">
      <formula>$D$2</formula>
    </cfRule>
    <cfRule type="cellIs" dxfId="548" priority="3080" operator="equal">
      <formula>$C$2</formula>
    </cfRule>
  </conditionalFormatting>
  <conditionalFormatting sqref="H226:H231">
    <cfRule type="cellIs" dxfId="547" priority="1068" operator="equal">
      <formula>$C$2</formula>
    </cfRule>
    <cfRule type="cellIs" dxfId="546" priority="1065" operator="equal">
      <formula>$F$2</formula>
    </cfRule>
    <cfRule type="cellIs" dxfId="545" priority="1066" operator="equal">
      <formula>$E$2</formula>
    </cfRule>
    <cfRule type="cellIs" dxfId="544" priority="1067" operator="equal">
      <formula>$D$2</formula>
    </cfRule>
  </conditionalFormatting>
  <conditionalFormatting sqref="H233:H236">
    <cfRule type="cellIs" dxfId="543" priority="1137" operator="equal">
      <formula>$F$2</formula>
    </cfRule>
    <cfRule type="cellIs" dxfId="542" priority="1138" operator="equal">
      <formula>$E$2</formula>
    </cfRule>
    <cfRule type="cellIs" dxfId="541" priority="1140" operator="equal">
      <formula>$C$2</formula>
    </cfRule>
    <cfRule type="cellIs" dxfId="540" priority="1139" operator="equal">
      <formula>$D$2</formula>
    </cfRule>
  </conditionalFormatting>
  <conditionalFormatting sqref="H238:H243">
    <cfRule type="cellIs" dxfId="539" priority="1186" operator="equal">
      <formula>$E$2</formula>
    </cfRule>
    <cfRule type="cellIs" dxfId="538" priority="1185" operator="equal">
      <formula>$F$2</formula>
    </cfRule>
    <cfRule type="cellIs" dxfId="537" priority="1187" operator="equal">
      <formula>$D$2</formula>
    </cfRule>
    <cfRule type="cellIs" dxfId="536" priority="1188" operator="equal">
      <formula>$C$2</formula>
    </cfRule>
  </conditionalFormatting>
  <conditionalFormatting sqref="H245:H248">
    <cfRule type="cellIs" dxfId="535" priority="1257" operator="equal">
      <formula>$F$2</formula>
    </cfRule>
    <cfRule type="cellIs" dxfId="534" priority="1258" operator="equal">
      <formula>$E$2</formula>
    </cfRule>
    <cfRule type="cellIs" dxfId="533" priority="1259" operator="equal">
      <formula>$D$2</formula>
    </cfRule>
    <cfRule type="cellIs" dxfId="532" priority="1260" operator="equal">
      <formula>$C$2</formula>
    </cfRule>
  </conditionalFormatting>
  <conditionalFormatting sqref="H250:H256">
    <cfRule type="cellIs" dxfId="531" priority="1306" operator="equal">
      <formula>$E$2</formula>
    </cfRule>
    <cfRule type="cellIs" dxfId="530" priority="1307" operator="equal">
      <formula>$D$2</formula>
    </cfRule>
    <cfRule type="cellIs" dxfId="529" priority="1308" operator="equal">
      <formula>$C$2</formula>
    </cfRule>
    <cfRule type="cellIs" dxfId="528" priority="1305" operator="equal">
      <formula>$F$2</formula>
    </cfRule>
  </conditionalFormatting>
  <conditionalFormatting sqref="H258:H261">
    <cfRule type="cellIs" dxfId="527" priority="1390" operator="equal">
      <formula>$E$2</formula>
    </cfRule>
    <cfRule type="cellIs" dxfId="526" priority="1391" operator="equal">
      <formula>$D$2</formula>
    </cfRule>
    <cfRule type="cellIs" dxfId="525" priority="1389" operator="equal">
      <formula>$F$2</formula>
    </cfRule>
    <cfRule type="cellIs" dxfId="524" priority="1392" operator="equal">
      <formula>$C$2</formula>
    </cfRule>
  </conditionalFormatting>
  <conditionalFormatting sqref="H263:H264">
    <cfRule type="cellIs" dxfId="523" priority="1437" operator="equal">
      <formula>$F$2</formula>
    </cfRule>
    <cfRule type="cellIs" dxfId="522" priority="1438" operator="equal">
      <formula>$E$2</formula>
    </cfRule>
    <cfRule type="cellIs" dxfId="521" priority="1439" operator="equal">
      <formula>$D$2</formula>
    </cfRule>
    <cfRule type="cellIs" dxfId="520" priority="1440" operator="equal">
      <formula>$C$2</formula>
    </cfRule>
  </conditionalFormatting>
  <conditionalFormatting sqref="H266:H268">
    <cfRule type="cellIs" dxfId="519" priority="788" operator="equal">
      <formula>$C$2</formula>
    </cfRule>
    <cfRule type="cellIs" dxfId="518" priority="787" operator="equal">
      <formula>$D$2</formula>
    </cfRule>
    <cfRule type="cellIs" dxfId="517" priority="786" operator="equal">
      <formula>$E$2</formula>
    </cfRule>
    <cfRule type="cellIs" dxfId="516" priority="785" operator="equal">
      <formula>$F$2</formula>
    </cfRule>
  </conditionalFormatting>
  <conditionalFormatting sqref="H270:H271">
    <cfRule type="cellIs" dxfId="515" priority="1499" operator="equal">
      <formula>$D$2</formula>
    </cfRule>
    <cfRule type="cellIs" dxfId="514" priority="1498" operator="equal">
      <formula>$E$2</formula>
    </cfRule>
    <cfRule type="cellIs" dxfId="513" priority="1497" operator="equal">
      <formula>$F$2</formula>
    </cfRule>
    <cfRule type="cellIs" dxfId="512" priority="1500" operator="equal">
      <formula>$C$2</formula>
    </cfRule>
  </conditionalFormatting>
  <conditionalFormatting sqref="H273:H276">
    <cfRule type="cellIs" dxfId="511" priority="784" operator="equal">
      <formula>$C$2</formula>
    </cfRule>
    <cfRule type="cellIs" dxfId="510" priority="783" operator="equal">
      <formula>$D$2</formula>
    </cfRule>
    <cfRule type="cellIs" dxfId="509" priority="782" operator="equal">
      <formula>$E$2</formula>
    </cfRule>
    <cfRule type="cellIs" dxfId="508" priority="781" operator="equal">
      <formula>$F$2</formula>
    </cfRule>
  </conditionalFormatting>
  <conditionalFormatting sqref="H279:H288">
    <cfRule type="cellIs" dxfId="507" priority="1569" operator="equal">
      <formula>$F$2</formula>
    </cfRule>
    <cfRule type="cellIs" dxfId="506" priority="1570" operator="equal">
      <formula>$E$2</formula>
    </cfRule>
    <cfRule type="cellIs" dxfId="505" priority="1571" operator="equal">
      <formula>$D$2</formula>
    </cfRule>
    <cfRule type="cellIs" dxfId="504" priority="1572" operator="equal">
      <formula>$C$2</formula>
    </cfRule>
  </conditionalFormatting>
  <conditionalFormatting sqref="H290:H307">
    <cfRule type="cellIs" dxfId="503" priority="1692" operator="equal">
      <formula>$C$2</formula>
    </cfRule>
    <cfRule type="cellIs" dxfId="502" priority="1689" operator="equal">
      <formula>$F$2</formula>
    </cfRule>
    <cfRule type="cellIs" dxfId="501" priority="1690" operator="equal">
      <formula>$E$2</formula>
    </cfRule>
    <cfRule type="cellIs" dxfId="500" priority="1691" operator="equal">
      <formula>$D$2</formula>
    </cfRule>
  </conditionalFormatting>
  <conditionalFormatting sqref="H309:H323">
    <cfRule type="cellIs" dxfId="499" priority="1920" operator="equal">
      <formula>$C$2</formula>
    </cfRule>
    <cfRule type="cellIs" dxfId="498" priority="1919" operator="equal">
      <formula>$D$2</formula>
    </cfRule>
    <cfRule type="cellIs" dxfId="497" priority="1918" operator="equal">
      <formula>$E$2</formula>
    </cfRule>
    <cfRule type="cellIs" dxfId="496" priority="1917" operator="equal">
      <formula>$F$2</formula>
    </cfRule>
  </conditionalFormatting>
  <conditionalFormatting sqref="H325:H331">
    <cfRule type="cellIs" dxfId="495" priority="340" operator="equal">
      <formula>$C$2</formula>
    </cfRule>
    <cfRule type="cellIs" dxfId="494" priority="339" operator="equal">
      <formula>$D$2</formula>
    </cfRule>
    <cfRule type="cellIs" dxfId="493" priority="338" operator="equal">
      <formula>$E$2</formula>
    </cfRule>
    <cfRule type="cellIs" dxfId="492" priority="337" operator="equal">
      <formula>$F$2</formula>
    </cfRule>
  </conditionalFormatting>
  <conditionalFormatting sqref="H333:H343">
    <cfRule type="cellIs" dxfId="491" priority="2182" operator="equal">
      <formula>$E$2</formula>
    </cfRule>
    <cfRule type="cellIs" dxfId="490" priority="2181" operator="equal">
      <formula>$F$2</formula>
    </cfRule>
    <cfRule type="cellIs" dxfId="489" priority="2184" operator="equal">
      <formula>$C$2</formula>
    </cfRule>
    <cfRule type="cellIs" dxfId="488" priority="2183" operator="equal">
      <formula>$D$2</formula>
    </cfRule>
  </conditionalFormatting>
  <conditionalFormatting sqref="J15">
    <cfRule type="cellIs" dxfId="487" priority="5736" operator="equal">
      <formula>$C$2</formula>
    </cfRule>
    <cfRule type="cellIs" dxfId="486" priority="5733" operator="equal">
      <formula>$F$2</formula>
    </cfRule>
    <cfRule type="cellIs" dxfId="485" priority="5734" operator="equal">
      <formula>$E$2</formula>
    </cfRule>
    <cfRule type="cellIs" dxfId="484" priority="5735" operator="equal">
      <formula>$D$2</formula>
    </cfRule>
  </conditionalFormatting>
  <conditionalFormatting sqref="J17:J18">
    <cfRule type="cellIs" dxfId="483" priority="5728" operator="equal">
      <formula>$C$2</formula>
    </cfRule>
    <cfRule type="cellIs" dxfId="482" priority="5726" operator="equal">
      <formula>$E$2</formula>
    </cfRule>
    <cfRule type="cellIs" dxfId="481" priority="5725" operator="equal">
      <formula>$F$2</formula>
    </cfRule>
    <cfRule type="cellIs" dxfId="480" priority="5727" operator="equal">
      <formula>$D$2</formula>
    </cfRule>
  </conditionalFormatting>
  <conditionalFormatting sqref="J20">
    <cfRule type="cellIs" dxfId="479" priority="66" operator="equal">
      <formula>$E$2</formula>
    </cfRule>
    <cfRule type="cellIs" dxfId="478" priority="65" operator="equal">
      <formula>$F$2</formula>
    </cfRule>
    <cfRule type="cellIs" dxfId="477" priority="68" operator="equal">
      <formula>$C$2</formula>
    </cfRule>
    <cfRule type="cellIs" dxfId="476" priority="67" operator="equal">
      <formula>$D$2</formula>
    </cfRule>
  </conditionalFormatting>
  <conditionalFormatting sqref="J22">
    <cfRule type="cellIs" dxfId="475" priority="5712" operator="equal">
      <formula>$C$2</formula>
    </cfRule>
    <cfRule type="cellIs" dxfId="474" priority="5710" operator="equal">
      <formula>$E$2</formula>
    </cfRule>
    <cfRule type="cellIs" dxfId="473" priority="5709" operator="equal">
      <formula>$F$2</formula>
    </cfRule>
    <cfRule type="cellIs" dxfId="472" priority="5711" operator="equal">
      <formula>$D$2</formula>
    </cfRule>
  </conditionalFormatting>
  <conditionalFormatting sqref="J25">
    <cfRule type="cellIs" dxfId="471" priority="5670" operator="equal">
      <formula>$E$2</formula>
    </cfRule>
    <cfRule type="cellIs" dxfId="470" priority="5669" operator="equal">
      <formula>$F$2</formula>
    </cfRule>
    <cfRule type="cellIs" dxfId="469" priority="5672" operator="equal">
      <formula>$C$2</formula>
    </cfRule>
    <cfRule type="cellIs" dxfId="468" priority="5671" operator="equal">
      <formula>$D$2</formula>
    </cfRule>
  </conditionalFormatting>
  <conditionalFormatting sqref="J27:J31">
    <cfRule type="cellIs" dxfId="467" priority="61" operator="equal">
      <formula>$F$2</formula>
    </cfRule>
    <cfRule type="cellIs" dxfId="466" priority="62" operator="equal">
      <formula>$E$2</formula>
    </cfRule>
    <cfRule type="cellIs" dxfId="465" priority="63" operator="equal">
      <formula>$D$2</formula>
    </cfRule>
    <cfRule type="cellIs" dxfId="464" priority="64" operator="equal">
      <formula>$C$2</formula>
    </cfRule>
  </conditionalFormatting>
  <conditionalFormatting sqref="J33">
    <cfRule type="cellIs" dxfId="463" priority="777" operator="equal">
      <formula>$F$2</formula>
    </cfRule>
    <cfRule type="cellIs" dxfId="462" priority="778" operator="equal">
      <formula>$E$2</formula>
    </cfRule>
    <cfRule type="cellIs" dxfId="461" priority="779" operator="equal">
      <formula>$D$2</formula>
    </cfRule>
    <cfRule type="cellIs" dxfId="460" priority="780" operator="equal">
      <formula>$C$2</formula>
    </cfRule>
  </conditionalFormatting>
  <conditionalFormatting sqref="J35">
    <cfRule type="cellIs" dxfId="459" priority="4529" operator="equal">
      <formula>$F$2</formula>
    </cfRule>
    <cfRule type="cellIs" dxfId="458" priority="4530" operator="equal">
      <formula>$E$2</formula>
    </cfRule>
    <cfRule type="cellIs" dxfId="457" priority="4531" operator="equal">
      <formula>$D$2</formula>
    </cfRule>
    <cfRule type="cellIs" dxfId="456" priority="4532" operator="equal">
      <formula>$C$2</formula>
    </cfRule>
  </conditionalFormatting>
  <conditionalFormatting sqref="J38:J47">
    <cfRule type="cellIs" dxfId="455" priority="4412" operator="equal">
      <formula>$C$2</formula>
    </cfRule>
    <cfRule type="cellIs" dxfId="454" priority="4411" operator="equal">
      <formula>$D$2</formula>
    </cfRule>
    <cfRule type="cellIs" dxfId="453" priority="4410" operator="equal">
      <formula>$E$2</formula>
    </cfRule>
    <cfRule type="cellIs" dxfId="452" priority="4409" operator="equal">
      <formula>$F$2</formula>
    </cfRule>
  </conditionalFormatting>
  <conditionalFormatting sqref="J50">
    <cfRule type="cellIs" dxfId="451" priority="4397" operator="equal">
      <formula>$F$2</formula>
    </cfRule>
    <cfRule type="cellIs" dxfId="450" priority="4398" operator="equal">
      <formula>$E$2</formula>
    </cfRule>
    <cfRule type="cellIs" dxfId="449" priority="4400" operator="equal">
      <formula>$C$2</formula>
    </cfRule>
    <cfRule type="cellIs" dxfId="448" priority="4399" operator="equal">
      <formula>$D$2</formula>
    </cfRule>
  </conditionalFormatting>
  <conditionalFormatting sqref="J52:J54">
    <cfRule type="cellIs" dxfId="447" priority="751" operator="equal">
      <formula>$D$2</formula>
    </cfRule>
    <cfRule type="cellIs" dxfId="446" priority="752" operator="equal">
      <formula>$C$2</formula>
    </cfRule>
    <cfRule type="cellIs" dxfId="445" priority="749" operator="equal">
      <formula>$F$2</formula>
    </cfRule>
    <cfRule type="cellIs" dxfId="444" priority="750" operator="equal">
      <formula>$E$2</formula>
    </cfRule>
  </conditionalFormatting>
  <conditionalFormatting sqref="J57:J61">
    <cfRule type="cellIs" dxfId="443" priority="4304" operator="equal">
      <formula>$C$2</formula>
    </cfRule>
    <cfRule type="cellIs" dxfId="442" priority="4303" operator="equal">
      <formula>$D$2</formula>
    </cfRule>
    <cfRule type="cellIs" dxfId="441" priority="4302" operator="equal">
      <formula>$E$2</formula>
    </cfRule>
    <cfRule type="cellIs" dxfId="440" priority="4301" operator="equal">
      <formula>$F$2</formula>
    </cfRule>
  </conditionalFormatting>
  <conditionalFormatting sqref="J63:J67">
    <cfRule type="cellIs" dxfId="439" priority="731" operator="equal">
      <formula>$D$2</formula>
    </cfRule>
    <cfRule type="cellIs" dxfId="438" priority="730" operator="equal">
      <formula>$E$2</formula>
    </cfRule>
    <cfRule type="cellIs" dxfId="437" priority="729" operator="equal">
      <formula>$F$2</formula>
    </cfRule>
    <cfRule type="cellIs" dxfId="436" priority="732" operator="equal">
      <formula>$C$2</formula>
    </cfRule>
  </conditionalFormatting>
  <conditionalFormatting sqref="J70:J82">
    <cfRule type="cellIs" dxfId="435" priority="4088" operator="equal">
      <formula>$C$2</formula>
    </cfRule>
    <cfRule type="cellIs" dxfId="434" priority="4087" operator="equal">
      <formula>$D$2</formula>
    </cfRule>
    <cfRule type="cellIs" dxfId="433" priority="4086" operator="equal">
      <formula>$E$2</formula>
    </cfRule>
    <cfRule type="cellIs" dxfId="432" priority="4085" operator="equal">
      <formula>$F$2</formula>
    </cfRule>
  </conditionalFormatting>
  <conditionalFormatting sqref="J85:J100">
    <cfRule type="cellIs" dxfId="431" priority="3896" operator="equal">
      <formula>$C$2</formula>
    </cfRule>
    <cfRule type="cellIs" dxfId="430" priority="3895" operator="equal">
      <formula>$D$2</formula>
    </cfRule>
    <cfRule type="cellIs" dxfId="429" priority="3894" operator="equal">
      <formula>$E$2</formula>
    </cfRule>
    <cfRule type="cellIs" dxfId="428" priority="3893" operator="equal">
      <formula>$F$2</formula>
    </cfRule>
  </conditionalFormatting>
  <conditionalFormatting sqref="J103:J112">
    <cfRule type="cellIs" dxfId="427" priority="3805" operator="equal">
      <formula>$F$2</formula>
    </cfRule>
    <cfRule type="cellIs" dxfId="426" priority="3807" operator="equal">
      <formula>$D$2</formula>
    </cfRule>
    <cfRule type="cellIs" dxfId="425" priority="3808" operator="equal">
      <formula>$C$2</formula>
    </cfRule>
    <cfRule type="cellIs" dxfId="424" priority="3806" operator="equal">
      <formula>$E$2</formula>
    </cfRule>
  </conditionalFormatting>
  <conditionalFormatting sqref="J114">
    <cfRule type="cellIs" dxfId="423" priority="3793" operator="equal">
      <formula>$F$2</formula>
    </cfRule>
    <cfRule type="cellIs" dxfId="422" priority="3794" operator="equal">
      <formula>$E$2</formula>
    </cfRule>
    <cfRule type="cellIs" dxfId="421" priority="3795" operator="equal">
      <formula>$D$2</formula>
    </cfRule>
    <cfRule type="cellIs" dxfId="420" priority="3796" operator="equal">
      <formula>$C$2</formula>
    </cfRule>
  </conditionalFormatting>
  <conditionalFormatting sqref="J117:J119">
    <cfRule type="cellIs" dxfId="419" priority="719" operator="equal">
      <formula>$D$2</formula>
    </cfRule>
    <cfRule type="cellIs" dxfId="418" priority="720" operator="equal">
      <formula>$C$2</formula>
    </cfRule>
    <cfRule type="cellIs" dxfId="417" priority="717" operator="equal">
      <formula>$F$2</formula>
    </cfRule>
    <cfRule type="cellIs" dxfId="416" priority="718" operator="equal">
      <formula>$E$2</formula>
    </cfRule>
  </conditionalFormatting>
  <conditionalFormatting sqref="J121:J125">
    <cfRule type="cellIs" dxfId="415" priority="712" operator="equal">
      <formula>$C$2</formula>
    </cfRule>
    <cfRule type="cellIs" dxfId="414" priority="709" operator="equal">
      <formula>$F$2</formula>
    </cfRule>
    <cfRule type="cellIs" dxfId="413" priority="710" operator="equal">
      <formula>$E$2</formula>
    </cfRule>
    <cfRule type="cellIs" dxfId="412" priority="711" operator="equal">
      <formula>$D$2</formula>
    </cfRule>
  </conditionalFormatting>
  <conditionalFormatting sqref="J127:J130">
    <cfRule type="cellIs" dxfId="411" priority="3673" operator="equal">
      <formula>$F$2</formula>
    </cfRule>
    <cfRule type="cellIs" dxfId="410" priority="3676" operator="equal">
      <formula>$C$2</formula>
    </cfRule>
    <cfRule type="cellIs" dxfId="409" priority="3675" operator="equal">
      <formula>$D$2</formula>
    </cfRule>
    <cfRule type="cellIs" dxfId="408" priority="3674" operator="equal">
      <formula>$E$2</formula>
    </cfRule>
  </conditionalFormatting>
  <conditionalFormatting sqref="J132">
    <cfRule type="cellIs" dxfId="407" priority="3664" operator="equal">
      <formula>$C$2</formula>
    </cfRule>
    <cfRule type="cellIs" dxfId="406" priority="3662" operator="equal">
      <formula>$E$2</formula>
    </cfRule>
    <cfRule type="cellIs" dxfId="405" priority="3661" operator="equal">
      <formula>$F$2</formula>
    </cfRule>
    <cfRule type="cellIs" dxfId="404" priority="3663" operator="equal">
      <formula>$D$2</formula>
    </cfRule>
  </conditionalFormatting>
  <conditionalFormatting sqref="J134:J137">
    <cfRule type="cellIs" dxfId="403" priority="3616" operator="equal">
      <formula>$C$2</formula>
    </cfRule>
    <cfRule type="cellIs" dxfId="402" priority="3615" operator="equal">
      <formula>$D$2</formula>
    </cfRule>
    <cfRule type="cellIs" dxfId="401" priority="3614" operator="equal">
      <formula>$E$2</formula>
    </cfRule>
    <cfRule type="cellIs" dxfId="400" priority="3613" operator="equal">
      <formula>$F$2</formula>
    </cfRule>
  </conditionalFormatting>
  <conditionalFormatting sqref="J139:J140">
    <cfRule type="cellIs" dxfId="399" priority="3591" operator="equal">
      <formula>$D$2</formula>
    </cfRule>
    <cfRule type="cellIs" dxfId="398" priority="3592" operator="equal">
      <formula>$C$2</formula>
    </cfRule>
    <cfRule type="cellIs" dxfId="397" priority="3590" operator="equal">
      <formula>$E$2</formula>
    </cfRule>
    <cfRule type="cellIs" dxfId="396" priority="3589" operator="equal">
      <formula>$F$2</formula>
    </cfRule>
  </conditionalFormatting>
  <conditionalFormatting sqref="J142:J145">
    <cfRule type="cellIs" dxfId="395" priority="3541" operator="equal">
      <formula>$F$2</formula>
    </cfRule>
    <cfRule type="cellIs" dxfId="394" priority="3544" operator="equal">
      <formula>$C$2</formula>
    </cfRule>
    <cfRule type="cellIs" dxfId="393" priority="3543" operator="equal">
      <formula>$D$2</formula>
    </cfRule>
    <cfRule type="cellIs" dxfId="392" priority="3542" operator="equal">
      <formula>$E$2</formula>
    </cfRule>
  </conditionalFormatting>
  <conditionalFormatting sqref="J148:J154">
    <cfRule type="cellIs" dxfId="391" priority="3457" operator="equal">
      <formula>$F$2</formula>
    </cfRule>
    <cfRule type="cellIs" dxfId="390" priority="3460" operator="equal">
      <formula>$C$2</formula>
    </cfRule>
    <cfRule type="cellIs" dxfId="389" priority="3459" operator="equal">
      <formula>$D$2</formula>
    </cfRule>
    <cfRule type="cellIs" dxfId="388" priority="3458" operator="equal">
      <formula>$E$2</formula>
    </cfRule>
  </conditionalFormatting>
  <conditionalFormatting sqref="J156:J158">
    <cfRule type="cellIs" dxfId="387" priority="3424" operator="equal">
      <formula>$C$2</formula>
    </cfRule>
    <cfRule type="cellIs" dxfId="386" priority="3423" operator="equal">
      <formula>$D$2</formula>
    </cfRule>
    <cfRule type="cellIs" dxfId="385" priority="3422" operator="equal">
      <formula>$E$2</formula>
    </cfRule>
    <cfRule type="cellIs" dxfId="384" priority="3421" operator="equal">
      <formula>$F$2</formula>
    </cfRule>
  </conditionalFormatting>
  <conditionalFormatting sqref="J160">
    <cfRule type="cellIs" dxfId="383" priority="3409" operator="equal">
      <formula>$F$2</formula>
    </cfRule>
    <cfRule type="cellIs" dxfId="382" priority="3410" operator="equal">
      <formula>$E$2</formula>
    </cfRule>
    <cfRule type="cellIs" dxfId="381" priority="3411" operator="equal">
      <formula>$D$2</formula>
    </cfRule>
    <cfRule type="cellIs" dxfId="380" priority="3412" operator="equal">
      <formula>$C$2</formula>
    </cfRule>
  </conditionalFormatting>
  <conditionalFormatting sqref="J162:J163">
    <cfRule type="cellIs" dxfId="379" priority="3385" operator="equal">
      <formula>$F$2</formula>
    </cfRule>
    <cfRule type="cellIs" dxfId="378" priority="3388" operator="equal">
      <formula>$C$2</formula>
    </cfRule>
    <cfRule type="cellIs" dxfId="377" priority="3387" operator="equal">
      <formula>$D$2</formula>
    </cfRule>
    <cfRule type="cellIs" dxfId="376" priority="3386" operator="equal">
      <formula>$E$2</formula>
    </cfRule>
  </conditionalFormatting>
  <conditionalFormatting sqref="J167">
    <cfRule type="cellIs" dxfId="375" priority="3376" operator="equal">
      <formula>$C$2</formula>
    </cfRule>
    <cfRule type="cellIs" dxfId="374" priority="3373" operator="equal">
      <formula>$F$2</formula>
    </cfRule>
    <cfRule type="cellIs" dxfId="373" priority="3375" operator="equal">
      <formula>$D$2</formula>
    </cfRule>
    <cfRule type="cellIs" dxfId="372" priority="3374" operator="equal">
      <formula>$E$2</formula>
    </cfRule>
  </conditionalFormatting>
  <conditionalFormatting sqref="J169:J170">
    <cfRule type="cellIs" dxfId="371" priority="55" operator="equal">
      <formula>$D$2</formula>
    </cfRule>
    <cfRule type="cellIs" dxfId="370" priority="56" operator="equal">
      <formula>$C$2</formula>
    </cfRule>
    <cfRule type="cellIs" dxfId="369" priority="53" operator="equal">
      <formula>$F$2</formula>
    </cfRule>
    <cfRule type="cellIs" dxfId="368" priority="54" operator="equal">
      <formula>$E$2</formula>
    </cfRule>
  </conditionalFormatting>
  <conditionalFormatting sqref="J173">
    <cfRule type="cellIs" dxfId="367" priority="1125" operator="equal">
      <formula>$F$2</formula>
    </cfRule>
    <cfRule type="cellIs" dxfId="366" priority="1128" operator="equal">
      <formula>$C$2</formula>
    </cfRule>
    <cfRule type="cellIs" dxfId="365" priority="1127" operator="equal">
      <formula>$D$2</formula>
    </cfRule>
    <cfRule type="cellIs" dxfId="364" priority="1126" operator="equal">
      <formula>$E$2</formula>
    </cfRule>
  </conditionalFormatting>
  <conditionalFormatting sqref="J176:J177">
    <cfRule type="cellIs" dxfId="363" priority="45" operator="equal">
      <formula>$F$2</formula>
    </cfRule>
    <cfRule type="cellIs" dxfId="362" priority="46" operator="equal">
      <formula>$E$2</formula>
    </cfRule>
    <cfRule type="cellIs" dxfId="361" priority="48" operator="equal">
      <formula>$C$2</formula>
    </cfRule>
    <cfRule type="cellIs" dxfId="360" priority="47" operator="equal">
      <formula>$D$2</formula>
    </cfRule>
  </conditionalFormatting>
  <conditionalFormatting sqref="J179">
    <cfRule type="cellIs" dxfId="359" priority="3301" operator="equal">
      <formula>$F$2</formula>
    </cfRule>
    <cfRule type="cellIs" dxfId="358" priority="3304" operator="equal">
      <formula>$C$2</formula>
    </cfRule>
    <cfRule type="cellIs" dxfId="357" priority="3302" operator="equal">
      <formula>$E$2</formula>
    </cfRule>
    <cfRule type="cellIs" dxfId="356" priority="3303" operator="equal">
      <formula>$D$2</formula>
    </cfRule>
  </conditionalFormatting>
  <conditionalFormatting sqref="J182">
    <cfRule type="cellIs" dxfId="355" priority="3290" operator="equal">
      <formula>$E$2</formula>
    </cfRule>
    <cfRule type="cellIs" dxfId="354" priority="3289" operator="equal">
      <formula>$F$2</formula>
    </cfRule>
    <cfRule type="cellIs" dxfId="353" priority="3291" operator="equal">
      <formula>$D$2</formula>
    </cfRule>
    <cfRule type="cellIs" dxfId="352" priority="3292" operator="equal">
      <formula>$C$2</formula>
    </cfRule>
  </conditionalFormatting>
  <conditionalFormatting sqref="J185">
    <cfRule type="cellIs" dxfId="351" priority="1123" operator="equal">
      <formula>$D$2</formula>
    </cfRule>
    <cfRule type="cellIs" dxfId="350" priority="1124" operator="equal">
      <formula>$C$2</formula>
    </cfRule>
    <cfRule type="cellIs" dxfId="349" priority="1121" operator="equal">
      <formula>$F$2</formula>
    </cfRule>
    <cfRule type="cellIs" dxfId="348" priority="1122" operator="equal">
      <formula>$E$2</formula>
    </cfRule>
  </conditionalFormatting>
  <conditionalFormatting sqref="J188:J189">
    <cfRule type="cellIs" dxfId="347" priority="36" operator="equal">
      <formula>$C$2</formula>
    </cfRule>
    <cfRule type="cellIs" dxfId="346" priority="35" operator="equal">
      <formula>$D$2</formula>
    </cfRule>
    <cfRule type="cellIs" dxfId="345" priority="34" operator="equal">
      <formula>$E$2</formula>
    </cfRule>
    <cfRule type="cellIs" dxfId="344" priority="33" operator="equal">
      <formula>$F$2</formula>
    </cfRule>
  </conditionalFormatting>
  <conditionalFormatting sqref="J192">
    <cfRule type="cellIs" dxfId="343" priority="1119" operator="equal">
      <formula>$D$2</formula>
    </cfRule>
    <cfRule type="cellIs" dxfId="342" priority="1118" operator="equal">
      <formula>$E$2</formula>
    </cfRule>
    <cfRule type="cellIs" dxfId="341" priority="1117" operator="equal">
      <formula>$F$2</formula>
    </cfRule>
    <cfRule type="cellIs" dxfId="340" priority="1120" operator="equal">
      <formula>$C$2</formula>
    </cfRule>
  </conditionalFormatting>
  <conditionalFormatting sqref="J195">
    <cfRule type="cellIs" dxfId="339" priority="3230" operator="equal">
      <formula>$E$2</formula>
    </cfRule>
    <cfRule type="cellIs" dxfId="338" priority="3231" operator="equal">
      <formula>$D$2</formula>
    </cfRule>
    <cfRule type="cellIs" dxfId="337" priority="3232" operator="equal">
      <formula>$C$2</formula>
    </cfRule>
    <cfRule type="cellIs" dxfId="336" priority="3229" operator="equal">
      <formula>$F$2</formula>
    </cfRule>
  </conditionalFormatting>
  <conditionalFormatting sqref="J197:J198">
    <cfRule type="cellIs" dxfId="335" priority="1113" operator="equal">
      <formula>$F$2</formula>
    </cfRule>
    <cfRule type="cellIs" dxfId="334" priority="1114" operator="equal">
      <formula>$E$2</formula>
    </cfRule>
    <cfRule type="cellIs" dxfId="333" priority="1115" operator="equal">
      <formula>$D$2</formula>
    </cfRule>
    <cfRule type="cellIs" dxfId="332" priority="1116" operator="equal">
      <formula>$C$2</formula>
    </cfRule>
  </conditionalFormatting>
  <conditionalFormatting sqref="J201:J202">
    <cfRule type="cellIs" dxfId="331" priority="3181" operator="equal">
      <formula>$F$2</formula>
    </cfRule>
    <cfRule type="cellIs" dxfId="330" priority="3182" operator="equal">
      <formula>$E$2</formula>
    </cfRule>
    <cfRule type="cellIs" dxfId="329" priority="3183" operator="equal">
      <formula>$D$2</formula>
    </cfRule>
    <cfRule type="cellIs" dxfId="328" priority="3184" operator="equal">
      <formula>$C$2</formula>
    </cfRule>
  </conditionalFormatting>
  <conditionalFormatting sqref="J205:J206">
    <cfRule type="cellIs" dxfId="327" priority="1105" operator="equal">
      <formula>$F$2</formula>
    </cfRule>
    <cfRule type="cellIs" dxfId="326" priority="1106" operator="equal">
      <formula>$E$2</formula>
    </cfRule>
    <cfRule type="cellIs" dxfId="325" priority="1107" operator="equal">
      <formula>$D$2</formula>
    </cfRule>
    <cfRule type="cellIs" dxfId="324" priority="1108" operator="equal">
      <formula>$C$2</formula>
    </cfRule>
  </conditionalFormatting>
  <conditionalFormatting sqref="J209">
    <cfRule type="cellIs" dxfId="323" priority="1101" operator="equal">
      <formula>$F$2</formula>
    </cfRule>
    <cfRule type="cellIs" dxfId="322" priority="1102" operator="equal">
      <formula>$E$2</formula>
    </cfRule>
    <cfRule type="cellIs" dxfId="321" priority="1103" operator="equal">
      <formula>$D$2</formula>
    </cfRule>
    <cfRule type="cellIs" dxfId="320" priority="1104" operator="equal">
      <formula>$C$2</formula>
    </cfRule>
  </conditionalFormatting>
  <conditionalFormatting sqref="J212:J214">
    <cfRule type="cellIs" dxfId="319" priority="14" operator="equal">
      <formula>$E$2</formula>
    </cfRule>
    <cfRule type="cellIs" dxfId="318" priority="13" operator="equal">
      <formula>$F$2</formula>
    </cfRule>
    <cfRule type="cellIs" dxfId="317" priority="15" operator="equal">
      <formula>$D$2</formula>
    </cfRule>
    <cfRule type="cellIs" dxfId="316" priority="16" operator="equal">
      <formula>$C$2</formula>
    </cfRule>
  </conditionalFormatting>
  <conditionalFormatting sqref="J217">
    <cfRule type="cellIs" dxfId="315" priority="5" operator="equal">
      <formula>$F$2</formula>
    </cfRule>
    <cfRule type="cellIs" dxfId="314" priority="6" operator="equal">
      <formula>$E$2</formula>
    </cfRule>
    <cfRule type="cellIs" dxfId="313" priority="7" operator="equal">
      <formula>$D$2</formula>
    </cfRule>
    <cfRule type="cellIs" dxfId="312" priority="8" operator="equal">
      <formula>$C$2</formula>
    </cfRule>
  </conditionalFormatting>
  <conditionalFormatting sqref="J220">
    <cfRule type="cellIs" dxfId="311" priority="2" operator="equal">
      <formula>$E$2</formula>
    </cfRule>
    <cfRule type="cellIs" dxfId="310" priority="3" operator="equal">
      <formula>$D$2</formula>
    </cfRule>
    <cfRule type="cellIs" dxfId="309" priority="4" operator="equal">
      <formula>$C$2</formula>
    </cfRule>
    <cfRule type="cellIs" dxfId="308" priority="1" operator="equal">
      <formula>$F$2</formula>
    </cfRule>
  </conditionalFormatting>
  <conditionalFormatting sqref="J223">
    <cfRule type="cellIs" dxfId="307" priority="1087" operator="equal">
      <formula>$D$2</formula>
    </cfRule>
    <cfRule type="cellIs" dxfId="306" priority="1088" operator="equal">
      <formula>$C$2</formula>
    </cfRule>
    <cfRule type="cellIs" dxfId="305" priority="1085" operator="equal">
      <formula>$F$2</formula>
    </cfRule>
    <cfRule type="cellIs" dxfId="304" priority="1086" operator="equal">
      <formula>$E$2</formula>
    </cfRule>
  </conditionalFormatting>
  <conditionalFormatting sqref="J226:J231">
    <cfRule type="cellIs" dxfId="303" priority="1064" operator="equal">
      <formula>$C$2</formula>
    </cfRule>
    <cfRule type="cellIs" dxfId="302" priority="1063" operator="equal">
      <formula>$D$2</formula>
    </cfRule>
    <cfRule type="cellIs" dxfId="301" priority="1062" operator="equal">
      <formula>$E$2</formula>
    </cfRule>
    <cfRule type="cellIs" dxfId="300" priority="1061" operator="equal">
      <formula>$F$2</formula>
    </cfRule>
  </conditionalFormatting>
  <conditionalFormatting sqref="J233:J236">
    <cfRule type="cellIs" dxfId="299" priority="1052" operator="equal">
      <formula>$C$2</formula>
    </cfRule>
    <cfRule type="cellIs" dxfId="298" priority="1051" operator="equal">
      <formula>$D$2</formula>
    </cfRule>
    <cfRule type="cellIs" dxfId="297" priority="1050" operator="equal">
      <formula>$E$2</formula>
    </cfRule>
    <cfRule type="cellIs" dxfId="296" priority="1049" operator="equal">
      <formula>$F$2</formula>
    </cfRule>
  </conditionalFormatting>
  <conditionalFormatting sqref="J238:J243">
    <cfRule type="cellIs" dxfId="295" priority="1028" operator="equal">
      <formula>$C$2</formula>
    </cfRule>
    <cfRule type="cellIs" dxfId="294" priority="1027" operator="equal">
      <formula>$D$2</formula>
    </cfRule>
    <cfRule type="cellIs" dxfId="293" priority="1026" operator="equal">
      <formula>$E$2</formula>
    </cfRule>
    <cfRule type="cellIs" dxfId="292" priority="1025" operator="equal">
      <formula>$F$2</formula>
    </cfRule>
  </conditionalFormatting>
  <conditionalFormatting sqref="J245:J248">
    <cfRule type="cellIs" dxfId="291" priority="1016" operator="equal">
      <formula>$C$2</formula>
    </cfRule>
    <cfRule type="cellIs" dxfId="290" priority="1015" operator="equal">
      <formula>$D$2</formula>
    </cfRule>
    <cfRule type="cellIs" dxfId="289" priority="1013" operator="equal">
      <formula>$F$2</formula>
    </cfRule>
    <cfRule type="cellIs" dxfId="288" priority="1014" operator="equal">
      <formula>$E$2</formula>
    </cfRule>
  </conditionalFormatting>
  <conditionalFormatting sqref="J250:J256">
    <cfRule type="cellIs" dxfId="287" priority="991" operator="equal">
      <formula>$D$2</formula>
    </cfRule>
    <cfRule type="cellIs" dxfId="286" priority="992" operator="equal">
      <formula>$C$2</formula>
    </cfRule>
    <cfRule type="cellIs" dxfId="285" priority="990" operator="equal">
      <formula>$E$2</formula>
    </cfRule>
    <cfRule type="cellIs" dxfId="284" priority="989" operator="equal">
      <formula>$F$2</formula>
    </cfRule>
  </conditionalFormatting>
  <conditionalFormatting sqref="J258:J261">
    <cfRule type="cellIs" dxfId="283" priority="977" operator="equal">
      <formula>$F$2</formula>
    </cfRule>
    <cfRule type="cellIs" dxfId="282" priority="978" operator="equal">
      <formula>$E$2</formula>
    </cfRule>
    <cfRule type="cellIs" dxfId="281" priority="979" operator="equal">
      <formula>$D$2</formula>
    </cfRule>
    <cfRule type="cellIs" dxfId="280" priority="980" operator="equal">
      <formula>$C$2</formula>
    </cfRule>
  </conditionalFormatting>
  <conditionalFormatting sqref="J263:J264">
    <cfRule type="cellIs" dxfId="279" priority="1433" operator="equal">
      <formula>$F$2</formula>
    </cfRule>
    <cfRule type="cellIs" dxfId="278" priority="1434" operator="equal">
      <formula>$E$2</formula>
    </cfRule>
    <cfRule type="cellIs" dxfId="277" priority="1436" operator="equal">
      <formula>$C$2</formula>
    </cfRule>
    <cfRule type="cellIs" dxfId="276" priority="1435" operator="equal">
      <formula>$D$2</formula>
    </cfRule>
  </conditionalFormatting>
  <conditionalFormatting sqref="J266:J268">
    <cfRule type="cellIs" dxfId="275" priority="965" operator="equal">
      <formula>$F$2</formula>
    </cfRule>
    <cfRule type="cellIs" dxfId="274" priority="966" operator="equal">
      <formula>$E$2</formula>
    </cfRule>
    <cfRule type="cellIs" dxfId="273" priority="967" operator="equal">
      <formula>$D$2</formula>
    </cfRule>
    <cfRule type="cellIs" dxfId="272" priority="968" operator="equal">
      <formula>$C$2</formula>
    </cfRule>
  </conditionalFormatting>
  <conditionalFormatting sqref="J270:J271">
    <cfRule type="cellIs" dxfId="271" priority="957" operator="equal">
      <formula>$F$2</formula>
    </cfRule>
    <cfRule type="cellIs" dxfId="270" priority="959" operator="equal">
      <formula>$D$2</formula>
    </cfRule>
    <cfRule type="cellIs" dxfId="269" priority="960" operator="equal">
      <formula>$C$2</formula>
    </cfRule>
    <cfRule type="cellIs" dxfId="268" priority="958" operator="equal">
      <formula>$E$2</formula>
    </cfRule>
  </conditionalFormatting>
  <conditionalFormatting sqref="J273:J276">
    <cfRule type="cellIs" dxfId="267" priority="1520" operator="equal">
      <formula>$C$2</formula>
    </cfRule>
    <cfRule type="cellIs" dxfId="266" priority="1519" operator="equal">
      <formula>$D$2</formula>
    </cfRule>
    <cfRule type="cellIs" dxfId="265" priority="1518" operator="equal">
      <formula>$E$2</formula>
    </cfRule>
    <cfRule type="cellIs" dxfId="264" priority="1517" operator="equal">
      <formula>$F$2</formula>
    </cfRule>
  </conditionalFormatting>
  <conditionalFormatting sqref="J279:J288">
    <cfRule type="cellIs" dxfId="263" priority="925" operator="equal">
      <formula>$F$2</formula>
    </cfRule>
    <cfRule type="cellIs" dxfId="262" priority="926" operator="equal">
      <formula>$E$2</formula>
    </cfRule>
    <cfRule type="cellIs" dxfId="261" priority="927" operator="equal">
      <formula>$D$2</formula>
    </cfRule>
    <cfRule type="cellIs" dxfId="260" priority="928" operator="equal">
      <formula>$C$2</formula>
    </cfRule>
  </conditionalFormatting>
  <conditionalFormatting sqref="J290:J307">
    <cfRule type="cellIs" dxfId="259" priority="877" operator="equal">
      <formula>$F$2</formula>
    </cfRule>
    <cfRule type="cellIs" dxfId="258" priority="878" operator="equal">
      <formula>$E$2</formula>
    </cfRule>
    <cfRule type="cellIs" dxfId="257" priority="880" operator="equal">
      <formula>$C$2</formula>
    </cfRule>
    <cfRule type="cellIs" dxfId="256" priority="879" operator="equal">
      <formula>$D$2</formula>
    </cfRule>
  </conditionalFormatting>
  <conditionalFormatting sqref="J309:J323">
    <cfRule type="cellIs" dxfId="255" priority="841" operator="equal">
      <formula>$F$2</formula>
    </cfRule>
    <cfRule type="cellIs" dxfId="254" priority="844" operator="equal">
      <formula>$C$2</formula>
    </cfRule>
    <cfRule type="cellIs" dxfId="253" priority="843" operator="equal">
      <formula>$D$2</formula>
    </cfRule>
    <cfRule type="cellIs" dxfId="252" priority="842" operator="equal">
      <formula>$E$2</formula>
    </cfRule>
  </conditionalFormatting>
  <conditionalFormatting sqref="J325:J331">
    <cfRule type="cellIs" dxfId="251" priority="834" operator="equal">
      <formula>$E$2</formula>
    </cfRule>
    <cfRule type="cellIs" dxfId="250" priority="833" operator="equal">
      <formula>$F$2</formula>
    </cfRule>
    <cfRule type="cellIs" dxfId="249" priority="836" operator="equal">
      <formula>$C$2</formula>
    </cfRule>
    <cfRule type="cellIs" dxfId="248" priority="835" operator="equal">
      <formula>$D$2</formula>
    </cfRule>
  </conditionalFormatting>
  <conditionalFormatting sqref="J333:J343">
    <cfRule type="cellIs" dxfId="247" priority="800" operator="equal">
      <formula>$C$2</formula>
    </cfRule>
    <cfRule type="cellIs" dxfId="246" priority="799" operator="equal">
      <formula>$D$2</formula>
    </cfRule>
    <cfRule type="cellIs" dxfId="245" priority="798" operator="equal">
      <formula>$E$2</formula>
    </cfRule>
    <cfRule type="cellIs" dxfId="244" priority="797" operator="equal">
      <formula>$F$2</formula>
    </cfRule>
  </conditionalFormatting>
  <conditionalFormatting sqref="L15">
    <cfRule type="cellIs" dxfId="243" priority="8596" operator="equal">
      <formula>$C$2</formula>
    </cfRule>
    <cfRule type="cellIs" dxfId="242" priority="8593" operator="equal">
      <formula>$F$2</formula>
    </cfRule>
    <cfRule type="cellIs" dxfId="241" priority="8594" operator="equal">
      <formula>$E$2</formula>
    </cfRule>
    <cfRule type="cellIs" dxfId="240" priority="8595" operator="equal">
      <formula>$D$2</formula>
    </cfRule>
  </conditionalFormatting>
  <conditionalFormatting sqref="L17:L18">
    <cfRule type="cellIs" dxfId="239" priority="5699" operator="equal">
      <formula>$D$2</formula>
    </cfRule>
    <cfRule type="cellIs" dxfId="238" priority="5700" operator="equal">
      <formula>$C$2</formula>
    </cfRule>
    <cfRule type="cellIs" dxfId="237" priority="5697" operator="equal">
      <formula>$F$2</formula>
    </cfRule>
    <cfRule type="cellIs" dxfId="236" priority="5698" operator="equal">
      <formula>$E$2</formula>
    </cfRule>
  </conditionalFormatting>
  <conditionalFormatting sqref="L20">
    <cfRule type="cellIs" dxfId="235" priority="5717" operator="equal">
      <formula>$F$2</formula>
    </cfRule>
    <cfRule type="cellIs" dxfId="234" priority="5718" operator="equal">
      <formula>$E$2</formula>
    </cfRule>
    <cfRule type="cellIs" dxfId="233" priority="5720" operator="equal">
      <formula>$C$2</formula>
    </cfRule>
    <cfRule type="cellIs" dxfId="232" priority="5719" operator="equal">
      <formula>$D$2</formula>
    </cfRule>
  </conditionalFormatting>
  <conditionalFormatting sqref="L22">
    <cfRule type="cellIs" dxfId="231" priority="5705" operator="equal">
      <formula>$F$2</formula>
    </cfRule>
    <cfRule type="cellIs" dxfId="230" priority="5706" operator="equal">
      <formula>$E$2</formula>
    </cfRule>
    <cfRule type="cellIs" dxfId="229" priority="5708" operator="equal">
      <formula>$C$2</formula>
    </cfRule>
    <cfRule type="cellIs" dxfId="228" priority="5707" operator="equal">
      <formula>$D$2</formula>
    </cfRule>
  </conditionalFormatting>
  <conditionalFormatting sqref="L25">
    <cfRule type="cellIs" dxfId="227" priority="5665" operator="equal">
      <formula>$F$2</formula>
    </cfRule>
    <cfRule type="cellIs" dxfId="226" priority="5666" operator="equal">
      <formula>$E$2</formula>
    </cfRule>
    <cfRule type="cellIs" dxfId="225" priority="5667" operator="equal">
      <formula>$D$2</formula>
    </cfRule>
    <cfRule type="cellIs" dxfId="224" priority="5668" operator="equal">
      <formula>$C$2</formula>
    </cfRule>
  </conditionalFormatting>
  <conditionalFormatting sqref="L27:L31">
    <cfRule type="cellIs" dxfId="223" priority="3829" operator="equal">
      <formula>$F$2</formula>
    </cfRule>
    <cfRule type="cellIs" dxfId="222" priority="3830" operator="equal">
      <formula>$E$2</formula>
    </cfRule>
    <cfRule type="cellIs" dxfId="221" priority="3831" operator="equal">
      <formula>$D$2</formula>
    </cfRule>
    <cfRule type="cellIs" dxfId="220" priority="3832" operator="equal">
      <formula>$C$2</formula>
    </cfRule>
  </conditionalFormatting>
  <conditionalFormatting sqref="L33">
    <cfRule type="cellIs" dxfId="219" priority="3825" operator="equal">
      <formula>$F$2</formula>
    </cfRule>
    <cfRule type="cellIs" dxfId="218" priority="3826" operator="equal">
      <formula>$E$2</formula>
    </cfRule>
    <cfRule type="cellIs" dxfId="217" priority="3827" operator="equal">
      <formula>$D$2</formula>
    </cfRule>
    <cfRule type="cellIs" dxfId="216" priority="3828" operator="equal">
      <formula>$C$2</formula>
    </cfRule>
  </conditionalFormatting>
  <conditionalFormatting sqref="L35">
    <cfRule type="cellIs" dxfId="215" priority="237" operator="equal">
      <formula>$F$2</formula>
    </cfRule>
    <cfRule type="cellIs" dxfId="214" priority="240" operator="equal">
      <formula>$C$2</formula>
    </cfRule>
    <cfRule type="cellIs" dxfId="213" priority="239" operator="equal">
      <formula>$D$2</formula>
    </cfRule>
    <cfRule type="cellIs" dxfId="212" priority="238" operator="equal">
      <formula>$E$2</formula>
    </cfRule>
  </conditionalFormatting>
  <conditionalFormatting sqref="L38:L47">
    <cfRule type="cellIs" dxfId="211" priority="212" operator="equal">
      <formula>$C$2</formula>
    </cfRule>
    <cfRule type="cellIs" dxfId="210" priority="211" operator="equal">
      <formula>$D$2</formula>
    </cfRule>
    <cfRule type="cellIs" dxfId="209" priority="210" operator="equal">
      <formula>$E$2</formula>
    </cfRule>
    <cfRule type="cellIs" dxfId="208" priority="209" operator="equal">
      <formula>$F$2</formula>
    </cfRule>
  </conditionalFormatting>
  <conditionalFormatting sqref="L50">
    <cfRule type="cellIs" dxfId="207" priority="4396" operator="equal">
      <formula>$C$2</formula>
    </cfRule>
    <cfRule type="cellIs" dxfId="206" priority="4394" operator="equal">
      <formula>$E$2</formula>
    </cfRule>
    <cfRule type="cellIs" dxfId="205" priority="4395" operator="equal">
      <formula>$D$2</formula>
    </cfRule>
    <cfRule type="cellIs" dxfId="204" priority="4393" operator="equal">
      <formula>$F$2</formula>
    </cfRule>
  </conditionalFormatting>
  <conditionalFormatting sqref="L52:L54">
    <cfRule type="cellIs" dxfId="203" priority="705" operator="equal">
      <formula>$F$2</formula>
    </cfRule>
    <cfRule type="cellIs" dxfId="202" priority="706" operator="equal">
      <formula>$E$2</formula>
    </cfRule>
    <cfRule type="cellIs" dxfId="201" priority="707" operator="equal">
      <formula>$D$2</formula>
    </cfRule>
    <cfRule type="cellIs" dxfId="200" priority="708" operator="equal">
      <formula>$C$2</formula>
    </cfRule>
  </conditionalFormatting>
  <conditionalFormatting sqref="L57:L61">
    <cfRule type="cellIs" dxfId="199" priority="314" operator="equal">
      <formula>$E$2</formula>
    </cfRule>
    <cfRule type="cellIs" dxfId="198" priority="313" operator="equal">
      <formula>$F$2</formula>
    </cfRule>
    <cfRule type="cellIs" dxfId="197" priority="315" operator="equal">
      <formula>$D$2</formula>
    </cfRule>
    <cfRule type="cellIs" dxfId="196" priority="316" operator="equal">
      <formula>$C$2</formula>
    </cfRule>
  </conditionalFormatting>
  <conditionalFormatting sqref="L63:L67">
    <cfRule type="cellIs" dxfId="195" priority="205" operator="equal">
      <formula>$F$2</formula>
    </cfRule>
    <cfRule type="cellIs" dxfId="194" priority="206" operator="equal">
      <formula>$E$2</formula>
    </cfRule>
    <cfRule type="cellIs" dxfId="193" priority="207" operator="equal">
      <formula>$D$2</formula>
    </cfRule>
    <cfRule type="cellIs" dxfId="192" priority="208" operator="equal">
      <formula>$C$2</formula>
    </cfRule>
  </conditionalFormatting>
  <conditionalFormatting sqref="L70:L82">
    <cfRule type="cellIs" dxfId="191" priority="245" operator="equal">
      <formula>$F$2</formula>
    </cfRule>
    <cfRule type="cellIs" dxfId="190" priority="246" operator="equal">
      <formula>$E$2</formula>
    </cfRule>
    <cfRule type="cellIs" dxfId="189" priority="247" operator="equal">
      <formula>$D$2</formula>
    </cfRule>
    <cfRule type="cellIs" dxfId="188" priority="248" operator="equal">
      <formula>$C$2</formula>
    </cfRule>
  </conditionalFormatting>
  <conditionalFormatting sqref="L85:L100">
    <cfRule type="cellIs" dxfId="187" priority="201" operator="equal">
      <formula>$F$2</formula>
    </cfRule>
    <cfRule type="cellIs" dxfId="186" priority="204" operator="equal">
      <formula>$C$2</formula>
    </cfRule>
    <cfRule type="cellIs" dxfId="185" priority="202" operator="equal">
      <formula>$E$2</formula>
    </cfRule>
    <cfRule type="cellIs" dxfId="184" priority="203" operator="equal">
      <formula>$D$2</formula>
    </cfRule>
  </conditionalFormatting>
  <conditionalFormatting sqref="L103:L112">
    <cfRule type="cellIs" dxfId="183" priority="197" operator="equal">
      <formula>$F$2</formula>
    </cfRule>
    <cfRule type="cellIs" dxfId="182" priority="198" operator="equal">
      <formula>$E$2</formula>
    </cfRule>
    <cfRule type="cellIs" dxfId="181" priority="199" operator="equal">
      <formula>$D$2</formula>
    </cfRule>
    <cfRule type="cellIs" dxfId="180" priority="200" operator="equal">
      <formula>$C$2</formula>
    </cfRule>
  </conditionalFormatting>
  <conditionalFormatting sqref="L114">
    <cfRule type="cellIs" dxfId="179" priority="3791" operator="equal">
      <formula>$D$2</formula>
    </cfRule>
    <cfRule type="cellIs" dxfId="178" priority="3792" operator="equal">
      <formula>$C$2</formula>
    </cfRule>
    <cfRule type="cellIs" dxfId="177" priority="3790" operator="equal">
      <formula>$E$2</formula>
    </cfRule>
    <cfRule type="cellIs" dxfId="176" priority="3789" operator="equal">
      <formula>$F$2</formula>
    </cfRule>
  </conditionalFormatting>
  <conditionalFormatting sqref="L117:L119">
    <cfRule type="cellIs" dxfId="175" priority="194" operator="equal">
      <formula>$E$2</formula>
    </cfRule>
    <cfRule type="cellIs" dxfId="174" priority="193" operator="equal">
      <formula>$F$2</formula>
    </cfRule>
    <cfRule type="cellIs" dxfId="173" priority="196" operator="equal">
      <formula>$C$2</formula>
    </cfRule>
    <cfRule type="cellIs" dxfId="172" priority="195" operator="equal">
      <formula>$D$2</formula>
    </cfRule>
  </conditionalFormatting>
  <conditionalFormatting sqref="L121:L125">
    <cfRule type="cellIs" dxfId="171" priority="192" operator="equal">
      <formula>$C$2</formula>
    </cfRule>
    <cfRule type="cellIs" dxfId="170" priority="191" operator="equal">
      <formula>$D$2</formula>
    </cfRule>
    <cfRule type="cellIs" dxfId="169" priority="190" operator="equal">
      <formula>$E$2</formula>
    </cfRule>
    <cfRule type="cellIs" dxfId="168" priority="189" operator="equal">
      <formula>$F$2</formula>
    </cfRule>
  </conditionalFormatting>
  <conditionalFormatting sqref="L127:L130">
    <cfRule type="cellIs" dxfId="167" priority="656" operator="equal">
      <formula>$C$2</formula>
    </cfRule>
    <cfRule type="cellIs" dxfId="166" priority="655" operator="equal">
      <formula>$D$2</formula>
    </cfRule>
    <cfRule type="cellIs" dxfId="165" priority="653" operator="equal">
      <formula>$F$2</formula>
    </cfRule>
    <cfRule type="cellIs" dxfId="164" priority="654" operator="equal">
      <formula>$E$2</formula>
    </cfRule>
  </conditionalFormatting>
  <conditionalFormatting sqref="L132">
    <cfRule type="cellIs" dxfId="163" priority="652" operator="equal">
      <formula>$C$2</formula>
    </cfRule>
    <cfRule type="cellIs" dxfId="162" priority="651" operator="equal">
      <formula>$D$2</formula>
    </cfRule>
    <cfRule type="cellIs" dxfId="161" priority="650" operator="equal">
      <formula>$E$2</formula>
    </cfRule>
    <cfRule type="cellIs" dxfId="160" priority="649" operator="equal">
      <formula>$F$2</formula>
    </cfRule>
  </conditionalFormatting>
  <conditionalFormatting sqref="L134:L137">
    <cfRule type="cellIs" dxfId="159" priority="642" operator="equal">
      <formula>$E$2</formula>
    </cfRule>
    <cfRule type="cellIs" dxfId="158" priority="643" operator="equal">
      <formula>$D$2</formula>
    </cfRule>
    <cfRule type="cellIs" dxfId="157" priority="641" operator="equal">
      <formula>$F$2</formula>
    </cfRule>
    <cfRule type="cellIs" dxfId="156" priority="644" operator="equal">
      <formula>$C$2</formula>
    </cfRule>
  </conditionalFormatting>
  <conditionalFormatting sqref="L139:L140">
    <cfRule type="cellIs" dxfId="155" priority="629" operator="equal">
      <formula>$F$2</formula>
    </cfRule>
    <cfRule type="cellIs" dxfId="154" priority="630" operator="equal">
      <formula>$E$2</formula>
    </cfRule>
    <cfRule type="cellIs" dxfId="153" priority="631" operator="equal">
      <formula>$D$2</formula>
    </cfRule>
    <cfRule type="cellIs" dxfId="152" priority="632" operator="equal">
      <formula>$C$2</formula>
    </cfRule>
  </conditionalFormatting>
  <conditionalFormatting sqref="L142:L145">
    <cfRule type="cellIs" dxfId="151" priority="625" operator="equal">
      <formula>$F$2</formula>
    </cfRule>
    <cfRule type="cellIs" dxfId="150" priority="627" operator="equal">
      <formula>$D$2</formula>
    </cfRule>
    <cfRule type="cellIs" dxfId="149" priority="628" operator="equal">
      <formula>$C$2</formula>
    </cfRule>
    <cfRule type="cellIs" dxfId="148" priority="626" operator="equal">
      <formula>$E$2</formula>
    </cfRule>
  </conditionalFormatting>
  <conditionalFormatting sqref="L148:L154">
    <cfRule type="cellIs" dxfId="147" priority="602" operator="equal">
      <formula>$E$2</formula>
    </cfRule>
    <cfRule type="cellIs" dxfId="146" priority="604" operator="equal">
      <formula>$C$2</formula>
    </cfRule>
    <cfRule type="cellIs" dxfId="145" priority="603" operator="equal">
      <formula>$D$2</formula>
    </cfRule>
    <cfRule type="cellIs" dxfId="144" priority="601" operator="equal">
      <formula>$F$2</formula>
    </cfRule>
  </conditionalFormatting>
  <conditionalFormatting sqref="L156:L158">
    <cfRule type="cellIs" dxfId="143" priority="592" operator="equal">
      <formula>$C$2</formula>
    </cfRule>
    <cfRule type="cellIs" dxfId="142" priority="591" operator="equal">
      <formula>$D$2</formula>
    </cfRule>
    <cfRule type="cellIs" dxfId="141" priority="590" operator="equal">
      <formula>$E$2</formula>
    </cfRule>
    <cfRule type="cellIs" dxfId="140" priority="589" operator="equal">
      <formula>$F$2</formula>
    </cfRule>
  </conditionalFormatting>
  <conditionalFormatting sqref="L160">
    <cfRule type="cellIs" dxfId="139" priority="588" operator="equal">
      <formula>$C$2</formula>
    </cfRule>
    <cfRule type="cellIs" dxfId="138" priority="587" operator="equal">
      <formula>$D$2</formula>
    </cfRule>
    <cfRule type="cellIs" dxfId="137" priority="586" operator="equal">
      <formula>$E$2</formula>
    </cfRule>
    <cfRule type="cellIs" dxfId="136" priority="585" operator="equal">
      <formula>$F$2</formula>
    </cfRule>
  </conditionalFormatting>
  <conditionalFormatting sqref="L162:L163">
    <cfRule type="cellIs" dxfId="135" priority="578" operator="equal">
      <formula>$E$2</formula>
    </cfRule>
    <cfRule type="cellIs" dxfId="134" priority="579" operator="equal">
      <formula>$D$2</formula>
    </cfRule>
    <cfRule type="cellIs" dxfId="133" priority="580" operator="equal">
      <formula>$C$2</formula>
    </cfRule>
    <cfRule type="cellIs" dxfId="132" priority="577" operator="equal">
      <formula>$F$2</formula>
    </cfRule>
  </conditionalFormatting>
  <conditionalFormatting sqref="L167">
    <cfRule type="cellIs" dxfId="131" priority="3372" operator="equal">
      <formula>$C$2</formula>
    </cfRule>
    <cfRule type="cellIs" dxfId="130" priority="3371" operator="equal">
      <formula>$D$2</formula>
    </cfRule>
    <cfRule type="cellIs" dxfId="129" priority="3369" operator="equal">
      <formula>$F$2</formula>
    </cfRule>
    <cfRule type="cellIs" dxfId="128" priority="3370" operator="equal">
      <formula>$E$2</formula>
    </cfRule>
  </conditionalFormatting>
  <conditionalFormatting sqref="L169:L170">
    <cfRule type="cellIs" dxfId="127" priority="703" operator="equal">
      <formula>$D$2</formula>
    </cfRule>
    <cfRule type="cellIs" dxfId="126" priority="701" operator="equal">
      <formula>$F$2</formula>
    </cfRule>
    <cfRule type="cellIs" dxfId="125" priority="702" operator="equal">
      <formula>$E$2</formula>
    </cfRule>
    <cfRule type="cellIs" dxfId="124" priority="704" operator="equal">
      <formula>$C$2</formula>
    </cfRule>
  </conditionalFormatting>
  <conditionalFormatting sqref="L173">
    <cfRule type="cellIs" dxfId="123" priority="3334" operator="equal">
      <formula>$E$2</formula>
    </cfRule>
    <cfRule type="cellIs" dxfId="122" priority="3335" operator="equal">
      <formula>$D$2</formula>
    </cfRule>
    <cfRule type="cellIs" dxfId="121" priority="3336" operator="equal">
      <formula>$C$2</formula>
    </cfRule>
    <cfRule type="cellIs" dxfId="120" priority="3333" operator="equal">
      <formula>$F$2</formula>
    </cfRule>
  </conditionalFormatting>
  <conditionalFormatting sqref="L176:L177">
    <cfRule type="cellIs" dxfId="119" priority="3309" operator="equal">
      <formula>$F$2</formula>
    </cfRule>
    <cfRule type="cellIs" dxfId="118" priority="3310" operator="equal">
      <formula>$E$2</formula>
    </cfRule>
    <cfRule type="cellIs" dxfId="117" priority="3311" operator="equal">
      <formula>$D$2</formula>
    </cfRule>
    <cfRule type="cellIs" dxfId="116" priority="3312" operator="equal">
      <formula>$C$2</formula>
    </cfRule>
  </conditionalFormatting>
  <conditionalFormatting sqref="L179">
    <cfRule type="cellIs" dxfId="115" priority="3300" operator="equal">
      <formula>$C$2</formula>
    </cfRule>
    <cfRule type="cellIs" dxfId="114" priority="3298" operator="equal">
      <formula>$E$2</formula>
    </cfRule>
    <cfRule type="cellIs" dxfId="113" priority="3299" operator="equal">
      <formula>$D$2</formula>
    </cfRule>
    <cfRule type="cellIs" dxfId="112" priority="3297" operator="equal">
      <formula>$F$2</formula>
    </cfRule>
  </conditionalFormatting>
  <conditionalFormatting sqref="L182">
    <cfRule type="cellIs" dxfId="111" priority="3285" operator="equal">
      <formula>$F$2</formula>
    </cfRule>
    <cfRule type="cellIs" dxfId="110" priority="3286" operator="equal">
      <formula>$E$2</formula>
    </cfRule>
    <cfRule type="cellIs" dxfId="109" priority="3287" operator="equal">
      <formula>$D$2</formula>
    </cfRule>
    <cfRule type="cellIs" dxfId="108" priority="3288" operator="equal">
      <formula>$C$2</formula>
    </cfRule>
  </conditionalFormatting>
  <conditionalFormatting sqref="L185">
    <cfRule type="cellIs" dxfId="107" priority="185" operator="equal">
      <formula>$F$2</formula>
    </cfRule>
    <cfRule type="cellIs" dxfId="106" priority="186" operator="equal">
      <formula>$E$2</formula>
    </cfRule>
    <cfRule type="cellIs" dxfId="105" priority="188" operator="equal">
      <formula>$C$2</formula>
    </cfRule>
    <cfRule type="cellIs" dxfId="104" priority="187" operator="equal">
      <formula>$D$2</formula>
    </cfRule>
  </conditionalFormatting>
  <conditionalFormatting sqref="L188:L189">
    <cfRule type="cellIs" dxfId="103" priority="182" operator="equal">
      <formula>$E$2</formula>
    </cfRule>
    <cfRule type="cellIs" dxfId="102" priority="183" operator="equal">
      <formula>$D$2</formula>
    </cfRule>
    <cfRule type="cellIs" dxfId="101" priority="184" operator="equal">
      <formula>$C$2</formula>
    </cfRule>
    <cfRule type="cellIs" dxfId="100" priority="181" operator="equal">
      <formula>$F$2</formula>
    </cfRule>
  </conditionalFormatting>
  <conditionalFormatting sqref="L192">
    <cfRule type="cellIs" dxfId="99" priority="3237" operator="equal">
      <formula>$F$2</formula>
    </cfRule>
    <cfRule type="cellIs" dxfId="98" priority="3238" operator="equal">
      <formula>$E$2</formula>
    </cfRule>
    <cfRule type="cellIs" dxfId="97" priority="3239" operator="equal">
      <formula>$D$2</formula>
    </cfRule>
    <cfRule type="cellIs" dxfId="96" priority="3240" operator="equal">
      <formula>$C$2</formula>
    </cfRule>
  </conditionalFormatting>
  <conditionalFormatting sqref="L195">
    <cfRule type="cellIs" dxfId="95" priority="3226" operator="equal">
      <formula>$E$2</formula>
    </cfRule>
    <cfRule type="cellIs" dxfId="94" priority="3225" operator="equal">
      <formula>$F$2</formula>
    </cfRule>
    <cfRule type="cellIs" dxfId="93" priority="3227" operator="equal">
      <formula>$D$2</formula>
    </cfRule>
    <cfRule type="cellIs" dxfId="92" priority="3228" operator="equal">
      <formula>$C$2</formula>
    </cfRule>
  </conditionalFormatting>
  <conditionalFormatting sqref="L197:L198">
    <cfRule type="cellIs" dxfId="91" priority="694" operator="equal">
      <formula>$E$2</formula>
    </cfRule>
    <cfRule type="cellIs" dxfId="90" priority="695" operator="equal">
      <formula>$D$2</formula>
    </cfRule>
    <cfRule type="cellIs" dxfId="89" priority="696" operator="equal">
      <formula>$C$2</formula>
    </cfRule>
    <cfRule type="cellIs" dxfId="88" priority="693" operator="equal">
      <formula>$F$2</formula>
    </cfRule>
  </conditionalFormatting>
  <conditionalFormatting sqref="L201:L202">
    <cfRule type="cellIs" dxfId="87" priority="332" operator="equal">
      <formula>$C$2</formula>
    </cfRule>
    <cfRule type="cellIs" dxfId="86" priority="331" operator="equal">
      <formula>$D$2</formula>
    </cfRule>
    <cfRule type="cellIs" dxfId="85" priority="330" operator="equal">
      <formula>$E$2</formula>
    </cfRule>
    <cfRule type="cellIs" dxfId="84" priority="329" operator="equal">
      <formula>$F$2</formula>
    </cfRule>
  </conditionalFormatting>
  <conditionalFormatting sqref="L205:L206">
    <cfRule type="cellIs" dxfId="83" priority="321" operator="equal">
      <formula>$F$2</formula>
    </cfRule>
    <cfRule type="cellIs" dxfId="82" priority="323" operator="equal">
      <formula>$D$2</formula>
    </cfRule>
    <cfRule type="cellIs" dxfId="81" priority="322" operator="equal">
      <formula>$E$2</formula>
    </cfRule>
    <cfRule type="cellIs" dxfId="80" priority="324" operator="equal">
      <formula>$C$2</formula>
    </cfRule>
  </conditionalFormatting>
  <conditionalFormatting sqref="L209">
    <cfRule type="cellIs" dxfId="79" priority="318" operator="equal">
      <formula>$E$2</formula>
    </cfRule>
    <cfRule type="cellIs" dxfId="78" priority="320" operator="equal">
      <formula>$C$2</formula>
    </cfRule>
    <cfRule type="cellIs" dxfId="77" priority="319" operator="equal">
      <formula>$D$2</formula>
    </cfRule>
    <cfRule type="cellIs" dxfId="76" priority="317" operator="equal">
      <formula>$F$2</formula>
    </cfRule>
  </conditionalFormatting>
  <conditionalFormatting sqref="L212:L214">
    <cfRule type="cellIs" dxfId="75" priority="690" operator="equal">
      <formula>$E$2</formula>
    </cfRule>
    <cfRule type="cellIs" dxfId="74" priority="692" operator="equal">
      <formula>$C$2</formula>
    </cfRule>
    <cfRule type="cellIs" dxfId="73" priority="689" operator="equal">
      <formula>$F$2</formula>
    </cfRule>
    <cfRule type="cellIs" dxfId="72" priority="691" operator="equal">
      <formula>$D$2</formula>
    </cfRule>
  </conditionalFormatting>
  <conditionalFormatting sqref="L217">
    <cfRule type="cellIs" dxfId="71" priority="688" operator="equal">
      <formula>$C$2</formula>
    </cfRule>
    <cfRule type="cellIs" dxfId="70" priority="686" operator="equal">
      <formula>$E$2</formula>
    </cfRule>
    <cfRule type="cellIs" dxfId="69" priority="685" operator="equal">
      <formula>$F$2</formula>
    </cfRule>
    <cfRule type="cellIs" dxfId="68" priority="687" operator="equal">
      <formula>$D$2</formula>
    </cfRule>
  </conditionalFormatting>
  <conditionalFormatting sqref="L220">
    <cfRule type="cellIs" dxfId="67" priority="3084" operator="equal">
      <formula>$C$2</formula>
    </cfRule>
    <cfRule type="cellIs" dxfId="66" priority="3081" operator="equal">
      <formula>$F$2</formula>
    </cfRule>
    <cfRule type="cellIs" dxfId="65" priority="3082" operator="equal">
      <formula>$E$2</formula>
    </cfRule>
    <cfRule type="cellIs" dxfId="64" priority="3083" operator="equal">
      <formula>$D$2</formula>
    </cfRule>
  </conditionalFormatting>
  <conditionalFormatting sqref="L223">
    <cfRule type="cellIs" dxfId="63" priority="3069" operator="equal">
      <formula>$F$2</formula>
    </cfRule>
    <cfRule type="cellIs" dxfId="62" priority="3072" operator="equal">
      <formula>$C$2</formula>
    </cfRule>
    <cfRule type="cellIs" dxfId="61" priority="3071" operator="equal">
      <formula>$D$2</formula>
    </cfRule>
    <cfRule type="cellIs" dxfId="60" priority="3070" operator="equal">
      <formula>$E$2</formula>
    </cfRule>
  </conditionalFormatting>
  <conditionalFormatting sqref="L226:L231">
    <cfRule type="cellIs" dxfId="59" priority="164" operator="equal">
      <formula>$C$2</formula>
    </cfRule>
    <cfRule type="cellIs" dxfId="58" priority="161" operator="equal">
      <formula>$F$2</formula>
    </cfRule>
    <cfRule type="cellIs" dxfId="57" priority="162" operator="equal">
      <formula>$E$2</formula>
    </cfRule>
    <cfRule type="cellIs" dxfId="56" priority="163" operator="equal">
      <formula>$D$2</formula>
    </cfRule>
  </conditionalFormatting>
  <conditionalFormatting sqref="L233:L236">
    <cfRule type="cellIs" dxfId="55" priority="558" operator="equal">
      <formula>$E$2</formula>
    </cfRule>
    <cfRule type="cellIs" dxfId="54" priority="557" operator="equal">
      <formula>$F$2</formula>
    </cfRule>
    <cfRule type="cellIs" dxfId="53" priority="560" operator="equal">
      <formula>$C$2</formula>
    </cfRule>
    <cfRule type="cellIs" dxfId="52" priority="559" operator="equal">
      <formula>$D$2</formula>
    </cfRule>
  </conditionalFormatting>
  <conditionalFormatting sqref="L238:L243">
    <cfRule type="cellIs" dxfId="51" priority="555" operator="equal">
      <formula>$D$2</formula>
    </cfRule>
    <cfRule type="cellIs" dxfId="50" priority="553" operator="equal">
      <formula>$F$2</formula>
    </cfRule>
    <cfRule type="cellIs" dxfId="49" priority="556" operator="equal">
      <formula>$C$2</formula>
    </cfRule>
    <cfRule type="cellIs" dxfId="48" priority="554" operator="equal">
      <formula>$E$2</formula>
    </cfRule>
  </conditionalFormatting>
  <conditionalFormatting sqref="L245:L248">
    <cfRule type="cellIs" dxfId="47" priority="547" operator="equal">
      <formula>$D$2</formula>
    </cfRule>
    <cfRule type="cellIs" dxfId="46" priority="546" operator="equal">
      <formula>$E$2</formula>
    </cfRule>
    <cfRule type="cellIs" dxfId="45" priority="545" operator="equal">
      <formula>$F$2</formula>
    </cfRule>
    <cfRule type="cellIs" dxfId="44" priority="548" operator="equal">
      <formula>$C$2</formula>
    </cfRule>
  </conditionalFormatting>
  <conditionalFormatting sqref="L250:L256">
    <cfRule type="cellIs" dxfId="43" priority="350" operator="equal">
      <formula>$E$2</formula>
    </cfRule>
    <cfRule type="cellIs" dxfId="42" priority="349" operator="equal">
      <formula>$F$2</formula>
    </cfRule>
    <cfRule type="cellIs" dxfId="41" priority="351" operator="equal">
      <formula>$D$2</formula>
    </cfRule>
    <cfRule type="cellIs" dxfId="40" priority="352" operator="equal">
      <formula>$C$2</formula>
    </cfRule>
  </conditionalFormatting>
  <conditionalFormatting sqref="L258:L261">
    <cfRule type="cellIs" dxfId="39" priority="532" operator="equal">
      <formula>$C$2</formula>
    </cfRule>
    <cfRule type="cellIs" dxfId="38" priority="531" operator="equal">
      <formula>$D$2</formula>
    </cfRule>
    <cfRule type="cellIs" dxfId="37" priority="530" operator="equal">
      <formula>$E$2</formula>
    </cfRule>
    <cfRule type="cellIs" dxfId="36" priority="529" operator="equal">
      <formula>$F$2</formula>
    </cfRule>
  </conditionalFormatting>
  <conditionalFormatting sqref="L263:L264">
    <cfRule type="cellIs" dxfId="35" priority="72" operator="equal">
      <formula>$C$2</formula>
    </cfRule>
    <cfRule type="cellIs" dxfId="34" priority="69" operator="equal">
      <formula>$F$2</formula>
    </cfRule>
    <cfRule type="cellIs" dxfId="33" priority="70" operator="equal">
      <formula>$E$2</formula>
    </cfRule>
    <cfRule type="cellIs" dxfId="32" priority="71" operator="equal">
      <formula>$D$2</formula>
    </cfRule>
  </conditionalFormatting>
  <conditionalFormatting sqref="L266:L268">
    <cfRule type="cellIs" dxfId="31" priority="156" operator="equal">
      <formula>$C$2</formula>
    </cfRule>
    <cfRule type="cellIs" dxfId="30" priority="155" operator="equal">
      <formula>$D$2</formula>
    </cfRule>
    <cfRule type="cellIs" dxfId="29" priority="154" operator="equal">
      <formula>$E$2</formula>
    </cfRule>
    <cfRule type="cellIs" dxfId="28" priority="153" operator="equal">
      <formula>$F$2</formula>
    </cfRule>
  </conditionalFormatting>
  <conditionalFormatting sqref="L270:L271">
    <cfRule type="cellIs" dxfId="27" priority="1489" operator="equal">
      <formula>$F$2</formula>
    </cfRule>
    <cfRule type="cellIs" dxfId="26" priority="1491" operator="equal">
      <formula>$D$2</formula>
    </cfRule>
    <cfRule type="cellIs" dxfId="25" priority="1490" operator="equal">
      <formula>$E$2</formula>
    </cfRule>
    <cfRule type="cellIs" dxfId="24" priority="1492" operator="equal">
      <formula>$C$2</formula>
    </cfRule>
  </conditionalFormatting>
  <conditionalFormatting sqref="L273:L276">
    <cfRule type="cellIs" dxfId="23" priority="519" operator="equal">
      <formula>$D$2</formula>
    </cfRule>
    <cfRule type="cellIs" dxfId="22" priority="518" operator="equal">
      <formula>$E$2</formula>
    </cfRule>
    <cfRule type="cellIs" dxfId="21" priority="517" operator="equal">
      <formula>$F$2</formula>
    </cfRule>
    <cfRule type="cellIs" dxfId="20" priority="520" operator="equal">
      <formula>$C$2</formula>
    </cfRule>
  </conditionalFormatting>
  <conditionalFormatting sqref="L279:L288">
    <cfRule type="cellIs" dxfId="19" priority="144" operator="equal">
      <formula>$C$2</formula>
    </cfRule>
    <cfRule type="cellIs" dxfId="18" priority="143" operator="equal">
      <formula>$D$2</formula>
    </cfRule>
    <cfRule type="cellIs" dxfId="17" priority="142" operator="equal">
      <formula>$E$2</formula>
    </cfRule>
    <cfRule type="cellIs" dxfId="16" priority="141" operator="equal">
      <formula>$F$2</formula>
    </cfRule>
  </conditionalFormatting>
  <conditionalFormatting sqref="L290:L307">
    <cfRule type="cellIs" dxfId="15" priority="132" operator="equal">
      <formula>$C$2</formula>
    </cfRule>
    <cfRule type="cellIs" dxfId="14" priority="129" operator="equal">
      <formula>$F$2</formula>
    </cfRule>
    <cfRule type="cellIs" dxfId="13" priority="130" operator="equal">
      <formula>$E$2</formula>
    </cfRule>
    <cfRule type="cellIs" dxfId="12" priority="131" operator="equal">
      <formula>$D$2</formula>
    </cfRule>
  </conditionalFormatting>
  <conditionalFormatting sqref="L309:L323">
    <cfRule type="cellIs" dxfId="11" priority="109" operator="equal">
      <formula>$F$2</formula>
    </cfRule>
    <cfRule type="cellIs" dxfId="10" priority="110" operator="equal">
      <formula>$E$2</formula>
    </cfRule>
    <cfRule type="cellIs" dxfId="9" priority="111" operator="equal">
      <formula>$D$2</formula>
    </cfRule>
    <cfRule type="cellIs" dxfId="8" priority="112" operator="equal">
      <formula>$C$2</formula>
    </cfRule>
  </conditionalFormatting>
  <conditionalFormatting sqref="L325:L331">
    <cfRule type="cellIs" dxfId="7" priority="97" operator="equal">
      <formula>$F$2</formula>
    </cfRule>
    <cfRule type="cellIs" dxfId="6" priority="99" operator="equal">
      <formula>$D$2</formula>
    </cfRule>
    <cfRule type="cellIs" dxfId="5" priority="100" operator="equal">
      <formula>$C$2</formula>
    </cfRule>
    <cfRule type="cellIs" dxfId="4" priority="98" operator="equal">
      <formula>$E$2</formula>
    </cfRule>
  </conditionalFormatting>
  <conditionalFormatting sqref="L333:L343">
    <cfRule type="cellIs" dxfId="3" priority="73" operator="equal">
      <formula>$F$2</formula>
    </cfRule>
    <cfRule type="cellIs" dxfId="2" priority="74" operator="equal">
      <formula>$E$2</formula>
    </cfRule>
    <cfRule type="cellIs" dxfId="1" priority="75" operator="equal">
      <formula>$D$2</formula>
    </cfRule>
    <cfRule type="cellIs" dxfId="0" priority="76" operator="equal">
      <formula>$C$2</formula>
    </cfRule>
  </conditionalFormatting>
  <dataValidations count="1">
    <dataValidation type="list" allowBlank="1" showInputMessage="1" showErrorMessage="1" sqref="L17:L18 L15 L20 H15 J15 J17:J18 H17:H18 L226:L231 L22 H20 J22 H25 H22 J25 L25 H169:H170 H27:H31 H160 J33 H33 L27:L31 H273:H276 J35 J50 J20 L63:L67 J117:J119 H127:H130 H139:H140 L139:L140 L132 J148:J154 H162:H163 L160 J156:J158 H156:H158 L148:L154 J160 J27:J31 H103:H112 J85:J100 H167 L167 L52:L54 L169:L170 H176:H177 J226:J231 H173 L173 J169:J170 H179 L179 J179 H182 L182 J182 L185 J185 J173 H185 L121:L125 J220 H188:H189 L192 J176:J177 L176:L177 J192 J195 H325:H331 J201:J202 H192 L201:L202 J197:J198 H197:H198 H195 L195 H201:H202 J205:J206 L197:L198 J209 H212:H214 L212:L214 J188:J189 H220 L220 J212:J214 J217 J223 H226:H231 L162:L163 J263:J264 L258:L261 J333:J343 J266:J268 L270:L271 L333:L343 H290:H307 L279:L288 J121:J125 H38:H47 J38:J47 J52:J54 J57:J61 J63:J67 L85:L100 L70:L82 J114 J103:J112 L117:L119 J127:J130 L127:L130 J139:J140 L134:L137 J167 H35 L33 H50 L50 L35 H52:H54 H57:H61 L209 H63:H67 L57:L61 H70:H82 L38:L47 J70:J82 H85:H100 L156:L158 J162:J163 H114 L114 H117:H119 L217 H121:H125 L103:L112 J132 H132 J134:J137 H134:H137 J142:J145 H142:H145 H148:H154 L142:L145 H205:H206 L205:L206 H223 L223 L233:L236 L238:L243 H250:H256 H209 H263:H264 H270:H271 L250:L256 J279:J288 H309:H323 J325:J331 H333:H343 L325:L331 J309:J323 L309:L323 J290:J307 L266:L268 H279:H288 L273:L276 J273:J276 H266:H268 J270:J271 J258:J261 L263:L264 H258:H261 J250:J256 J245:J248 L245:L248 H245:H248 J238:J243 H238:H243 J233:J236 L188:L189 H233:H236 H217 L290:L307" xr:uid="{00000000-0002-0000-0100-000000000000}">
      <formula1>$C$2:$F$2</formula1>
    </dataValidation>
  </dataValidations>
  <pageMargins left="0.7" right="0.7" top="0.75" bottom="0.75" header="0.3" footer="0.3"/>
  <pageSetup paperSize="9" scale="10" fitToWidth="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Кульдяев</vt:lpstr>
      <vt:lpstr>Замечания к отправ.</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Узун Андрей Иванович</dc:creator>
  <cp:lastModifiedBy>Валерий Вепрев</cp:lastModifiedBy>
  <dcterms:created xsi:type="dcterms:W3CDTF">2026-04-06T10:01:20Z</dcterms:created>
  <dcterms:modified xsi:type="dcterms:W3CDTF">2026-05-27T16:13:11Z</dcterms:modified>
</cp:coreProperties>
</file>